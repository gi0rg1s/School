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OLLONI1\Desktop\School\gpoi\excel\"/>
    </mc:Choice>
  </mc:AlternateContent>
  <xr:revisionPtr revIDLastSave="0" documentId="13_ncr:1_{57FCE97B-E46D-4EEB-9316-19D58BEB7BBF}" xr6:coauthVersionLast="36" xr6:coauthVersionMax="36" xr10:uidLastSave="{00000000-0000-0000-0000-000000000000}"/>
  <bookViews>
    <workbookView xWindow="0" yWindow="0" windowWidth="23040" windowHeight="10380" xr2:uid="{3F8BF929-18E6-417E-B5D3-25E7A6D14817}"/>
  </bookViews>
  <sheets>
    <sheet name="indic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C20" i="1"/>
  <c r="C21" i="1"/>
  <c r="C23" i="1"/>
  <c r="C22" i="1"/>
  <c r="F10" i="1"/>
  <c r="G10" i="1"/>
  <c r="H10" i="1"/>
  <c r="I10" i="1"/>
  <c r="D10" i="1"/>
  <c r="D12" i="1" s="1"/>
  <c r="D13" i="1" s="1"/>
  <c r="C13" i="1"/>
  <c r="C17" i="1"/>
  <c r="B5" i="1"/>
  <c r="C12" i="1"/>
  <c r="C10" i="1"/>
  <c r="D17" i="1"/>
  <c r="E17" i="1"/>
  <c r="F17" i="1"/>
  <c r="G17" i="1"/>
  <c r="H17" i="1"/>
  <c r="I17" i="1"/>
  <c r="E12" i="1" l="1"/>
  <c r="F12" i="1" l="1"/>
  <c r="E13" i="1"/>
  <c r="G12" i="1" l="1"/>
  <c r="F13" i="1"/>
  <c r="H12" i="1" l="1"/>
  <c r="G13" i="1"/>
  <c r="H13" i="1" l="1"/>
  <c r="I12" i="1"/>
  <c r="I13" i="1" l="1"/>
</calcChain>
</file>

<file path=xl/sharedStrings.xml><?xml version="1.0" encoding="utf-8"?>
<sst xmlns="http://schemas.openxmlformats.org/spreadsheetml/2006/main" count="20" uniqueCount="20">
  <si>
    <t>i =</t>
  </si>
  <si>
    <t>n =</t>
  </si>
  <si>
    <t xml:space="preserve">F = </t>
  </si>
  <si>
    <t xml:space="preserve">R = </t>
  </si>
  <si>
    <t>VAN</t>
  </si>
  <si>
    <t>Anno</t>
  </si>
  <si>
    <t>Ricavi Annuali</t>
  </si>
  <si>
    <t>ROI</t>
  </si>
  <si>
    <t>Montante Ricavi</t>
  </si>
  <si>
    <t>INDICI ATTUALIZZATI</t>
  </si>
  <si>
    <t>Montante Ricavi Attualizzati</t>
  </si>
  <si>
    <t>NON ATTUALIZZATO</t>
  </si>
  <si>
    <t>ROI ATTUALIZZATO</t>
  </si>
  <si>
    <t>Rp =</t>
  </si>
  <si>
    <t>VAN =</t>
  </si>
  <si>
    <t>TIR =</t>
  </si>
  <si>
    <t xml:space="preserve">Profitto = </t>
  </si>
  <si>
    <t xml:space="preserve">Ricavo = </t>
  </si>
  <si>
    <t>Costo =</t>
  </si>
  <si>
    <t>(svalutazione)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</si>
</sst>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9" fontId="0" fillId="0" borderId="0" xfId="2" applyFont="1"/>
    <xf numFmtId="44" fontId="0" fillId="2" borderId="0" xfId="1" applyFont="1" applyFill="1"/>
    <xf numFmtId="0" fontId="0" fillId="2" borderId="0" xfId="0" applyFill="1"/>
    <xf numFmtId="9" fontId="0" fillId="2" borderId="0" xfId="2" applyFont="1" applyFill="1"/>
    <xf numFmtId="44" fontId="0" fillId="0" borderId="0" xfId="0" applyNumberFormat="1"/>
    <xf numFmtId="8" fontId="0" fillId="0" borderId="0" xfId="0" applyNumberFormat="1"/>
    <xf numFmtId="9" fontId="0" fillId="0" borderId="0" xfId="0" applyNumberFormat="1"/>
    <xf numFmtId="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</cellXfs>
  <cellStyles count="3">
    <cellStyle name="Normale" xfId="0" builtinId="0"/>
    <cellStyle name="Percentuale" xfId="2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19279-2C9E-4F85-B1D5-FD7D1DFE4647}">
  <dimension ref="A1:AI23"/>
  <sheetViews>
    <sheetView tabSelected="1" topLeftCell="C1" workbookViewId="0">
      <selection activeCell="F30" sqref="F30"/>
    </sheetView>
  </sheetViews>
  <sheetFormatPr defaultRowHeight="14.4" x14ac:dyDescent="0.3"/>
  <cols>
    <col min="2" max="2" width="24.44140625" customWidth="1"/>
    <col min="3" max="3" width="11.77734375" bestFit="1" customWidth="1"/>
    <col min="4" max="4" width="10.77734375" bestFit="1" customWidth="1"/>
    <col min="5" max="5" width="11.21875" customWidth="1"/>
    <col min="6" max="6" width="11.109375" customWidth="1"/>
    <col min="7" max="7" width="11" customWidth="1"/>
    <col min="8" max="8" width="12.33203125" customWidth="1"/>
    <col min="9" max="9" width="12.6640625" customWidth="1"/>
    <col min="10" max="10" width="12" customWidth="1"/>
    <col min="11" max="11" width="11.88671875" customWidth="1"/>
    <col min="12" max="12" width="11.77734375" customWidth="1"/>
    <col min="13" max="34" width="16.33203125" customWidth="1"/>
  </cols>
  <sheetData>
    <row r="1" spans="1:35" x14ac:dyDescent="0.3">
      <c r="A1" t="s">
        <v>0</v>
      </c>
      <c r="B1" s="3">
        <v>5020</v>
      </c>
    </row>
    <row r="2" spans="1:35" x14ac:dyDescent="0.3">
      <c r="A2" t="s">
        <v>1</v>
      </c>
      <c r="B2" s="4">
        <v>6</v>
      </c>
    </row>
    <row r="3" spans="1:35" x14ac:dyDescent="0.3">
      <c r="A3" t="s">
        <v>2</v>
      </c>
      <c r="B3" s="3">
        <v>2000</v>
      </c>
    </row>
    <row r="4" spans="1:35" x14ac:dyDescent="0.3">
      <c r="A4" t="s">
        <v>3</v>
      </c>
      <c r="B4" s="5">
        <v>0.2</v>
      </c>
      <c r="C4" t="s">
        <v>19</v>
      </c>
    </row>
    <row r="5" spans="1:35" x14ac:dyDescent="0.3">
      <c r="A5" t="s">
        <v>13</v>
      </c>
      <c r="B5" s="2">
        <f>B4/12</f>
        <v>1.6666666666666666E-2</v>
      </c>
    </row>
    <row r="7" spans="1:35" x14ac:dyDescent="0.3">
      <c r="B7" t="s">
        <v>5</v>
      </c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</row>
    <row r="8" spans="1:35" x14ac:dyDescent="0.3">
      <c r="B8" t="s">
        <v>6</v>
      </c>
      <c r="C8" s="1">
        <v>-5020</v>
      </c>
      <c r="D8" s="1">
        <v>2000</v>
      </c>
      <c r="E8" s="1">
        <v>2000</v>
      </c>
      <c r="F8" s="1">
        <v>2000</v>
      </c>
      <c r="G8" s="1">
        <v>2000</v>
      </c>
      <c r="H8" s="1">
        <v>2000</v>
      </c>
      <c r="I8" s="1">
        <v>2000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3">
      <c r="A9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">
      <c r="B10" t="s">
        <v>10</v>
      </c>
      <c r="C10" s="1">
        <f>-B1</f>
        <v>-5020</v>
      </c>
      <c r="D10" s="1">
        <f>D8/POWER((1 + $B$4),D7)</f>
        <v>1666.6666666666667</v>
      </c>
      <c r="E10" s="1">
        <f>E8/POWER((1 + $B$4),E7)</f>
        <v>1388.8888888888889</v>
      </c>
      <c r="F10" s="1">
        <f t="shared" ref="E10:AH10" si="0">F8/POWER((1 + $B$4),F7)</f>
        <v>1157.4074074074074</v>
      </c>
      <c r="G10" s="1">
        <f t="shared" si="0"/>
        <v>964.50617283950623</v>
      </c>
      <c r="H10" s="1">
        <f t="shared" si="0"/>
        <v>803.75514403292186</v>
      </c>
      <c r="I10" s="1">
        <f t="shared" si="0"/>
        <v>669.79595336076818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x14ac:dyDescent="0.3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">
      <c r="B12" t="s">
        <v>4</v>
      </c>
      <c r="C12" s="6">
        <f>-$B$1</f>
        <v>-5020</v>
      </c>
      <c r="D12" s="6">
        <f>C12 +D10</f>
        <v>-3353.333333333333</v>
      </c>
      <c r="E12" s="6">
        <f>D12 +E10</f>
        <v>-1964.4444444444441</v>
      </c>
      <c r="F12" s="6">
        <f t="shared" ref="E12:H12" si="1">E12 +F10</f>
        <v>-807.03703703703673</v>
      </c>
      <c r="G12" s="6">
        <f t="shared" si="1"/>
        <v>157.46913580246951</v>
      </c>
      <c r="H12" s="6">
        <f t="shared" si="1"/>
        <v>961.22427983539137</v>
      </c>
      <c r="I12" s="6">
        <f>H12 + $B$3 / POWER((1 + $B$4),  I7)</f>
        <v>1631.0202331961596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x14ac:dyDescent="0.3">
      <c r="B13" t="s">
        <v>12</v>
      </c>
      <c r="C13" s="2">
        <f>C12/$B$1</f>
        <v>-1</v>
      </c>
      <c r="D13" s="2">
        <f t="shared" ref="D13:AH13" si="2">D12/$B$1</f>
        <v>-0.6679946879150066</v>
      </c>
      <c r="E13" s="2">
        <f t="shared" si="2"/>
        <v>-0.39132359451084542</v>
      </c>
      <c r="F13" s="2">
        <f t="shared" si="2"/>
        <v>-0.16076435000737782</v>
      </c>
      <c r="G13" s="2">
        <f t="shared" si="2"/>
        <v>3.1368353745511855E-2</v>
      </c>
      <c r="H13" s="2">
        <f t="shared" si="2"/>
        <v>0.19147894020625325</v>
      </c>
      <c r="I13" s="2">
        <f t="shared" si="2"/>
        <v>0.32490442892353777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x14ac:dyDescent="0.3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x14ac:dyDescent="0.3">
      <c r="A15" t="s">
        <v>11</v>
      </c>
    </row>
    <row r="16" spans="1:35" x14ac:dyDescent="0.3">
      <c r="B16" t="s">
        <v>8</v>
      </c>
      <c r="C16" s="6">
        <v>0</v>
      </c>
      <c r="D16" s="6">
        <v>2000</v>
      </c>
      <c r="E16" s="6">
        <v>4000</v>
      </c>
      <c r="F16" s="6">
        <v>6000</v>
      </c>
      <c r="G16" s="6">
        <v>8000</v>
      </c>
      <c r="H16" s="6">
        <v>10000</v>
      </c>
      <c r="I16" s="6">
        <v>12000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2:35" x14ac:dyDescent="0.3">
      <c r="B17" t="s">
        <v>7</v>
      </c>
      <c r="C17" s="2">
        <f>(-$B$1+C16)/$B$1</f>
        <v>-1</v>
      </c>
      <c r="D17" s="2">
        <f t="shared" ref="D17:M17" si="3">(-$B$1+D16)/$B$1</f>
        <v>-0.60159362549800799</v>
      </c>
      <c r="E17" s="2">
        <f t="shared" si="3"/>
        <v>-0.20318725099601595</v>
      </c>
      <c r="F17" s="2">
        <f t="shared" si="3"/>
        <v>0.19521912350597609</v>
      </c>
      <c r="G17" s="2">
        <f t="shared" si="3"/>
        <v>0.59362549800796816</v>
      </c>
      <c r="H17" s="2">
        <f t="shared" si="3"/>
        <v>0.99203187250996017</v>
      </c>
      <c r="I17" s="2">
        <f t="shared" si="3"/>
        <v>1.3904382470119523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9" spans="2:35" x14ac:dyDescent="0.3">
      <c r="B19" t="s">
        <v>18</v>
      </c>
      <c r="C19" s="1">
        <v>5020</v>
      </c>
    </row>
    <row r="20" spans="2:35" x14ac:dyDescent="0.3">
      <c r="B20" t="s">
        <v>17</v>
      </c>
      <c r="C20" s="6">
        <f>SUM(D8:I8)</f>
        <v>12000</v>
      </c>
    </row>
    <row r="21" spans="2:35" x14ac:dyDescent="0.3">
      <c r="B21" t="s">
        <v>16</v>
      </c>
      <c r="C21" s="6">
        <f>C20-C19</f>
        <v>6980</v>
      </c>
    </row>
    <row r="22" spans="2:35" x14ac:dyDescent="0.3">
      <c r="B22" s="9" t="s">
        <v>14</v>
      </c>
      <c r="C22" s="7">
        <f>NPV(B4,D8:I8)+C10</f>
        <v>1631.02023319616</v>
      </c>
      <c r="E22" s="11"/>
    </row>
    <row r="23" spans="2:35" x14ac:dyDescent="0.3">
      <c r="B23" s="10" t="s">
        <v>15</v>
      </c>
      <c r="C23" s="8">
        <f>IRR(C8:I8)</f>
        <v>0.32467043517417205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indici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FOLLONI GIORGIA</dc:creator>
  <cp:lastModifiedBy>FOLLONI GIORGIA</cp:lastModifiedBy>
  <dcterms:created xsi:type="dcterms:W3CDTF">2026-10-19T09:34:37Z</dcterms:created>
  <dcterms:modified xsi:type="dcterms:W3CDTF">2026-10-19T10:49:03Z</dcterms:modified>
</cp:coreProperties>
</file>