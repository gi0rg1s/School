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/>
  <xr:revisionPtr revIDLastSave="0" documentId="8_{3D5D9A78-0D4C-4507-8AD8-D8037E8565F7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VincoloDiBilancio" sheetId="1" r:id="rId1"/>
    <sheet name="curvaDiOffertaDomanda" sheetId="2" r:id="rId2"/>
    <sheet name="DomandaOfferta" sheetId="3" r:id="rId3"/>
    <sheet name="ricavoCost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2" i="4" l="1"/>
  <c r="O23" i="4"/>
  <c r="O24" i="4"/>
  <c r="O25" i="4"/>
  <c r="O10" i="4"/>
  <c r="O11" i="4"/>
  <c r="O12" i="4"/>
  <c r="O13" i="4"/>
  <c r="O14" i="4"/>
  <c r="O15" i="4"/>
  <c r="O16" i="4"/>
  <c r="O17" i="4"/>
  <c r="O18" i="4"/>
  <c r="O19" i="4"/>
  <c r="O20" i="4"/>
  <c r="O21" i="4"/>
  <c r="O6" i="4"/>
  <c r="O7" i="4"/>
  <c r="O8" i="4"/>
  <c r="O9" i="4"/>
  <c r="O5" i="4"/>
  <c r="N24" i="4"/>
  <c r="N25" i="4"/>
  <c r="N17" i="4"/>
  <c r="N18" i="4"/>
  <c r="N19" i="4"/>
  <c r="N20" i="4"/>
  <c r="N21" i="4"/>
  <c r="N22" i="4"/>
  <c r="N23" i="4"/>
  <c r="N6" i="4"/>
  <c r="N7" i="4"/>
  <c r="N8" i="4"/>
  <c r="N9" i="4"/>
  <c r="N10" i="4"/>
  <c r="N11" i="4"/>
  <c r="N12" i="4"/>
  <c r="N13" i="4"/>
  <c r="N14" i="4"/>
  <c r="N15" i="4"/>
  <c r="N16" i="4"/>
  <c r="N5" i="4"/>
  <c r="M23" i="4"/>
  <c r="M24" i="4"/>
  <c r="M25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6" i="4"/>
  <c r="P2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6" i="4"/>
  <c r="C5" i="4"/>
  <c r="B23" i="4"/>
  <c r="B24" i="4"/>
  <c r="B2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5" i="4"/>
  <c r="A25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6" i="4"/>
  <c r="D2" i="4"/>
  <c r="N36" i="2"/>
  <c r="N37" i="2"/>
  <c r="N38" i="2"/>
  <c r="N39" i="2"/>
  <c r="N40" i="2"/>
  <c r="N41" i="2"/>
  <c r="N42" i="2"/>
  <c r="N43" i="2"/>
  <c r="N44" i="2"/>
  <c r="N45" i="2"/>
  <c r="O36" i="2"/>
  <c r="O37" i="2"/>
  <c r="O38" i="2"/>
  <c r="O39" i="2"/>
  <c r="O40" i="2"/>
  <c r="O41" i="2"/>
  <c r="O42" i="2"/>
  <c r="O43" i="2"/>
  <c r="O44" i="2"/>
  <c r="O45" i="2"/>
  <c r="P42" i="2"/>
  <c r="P36" i="2"/>
  <c r="P37" i="2"/>
  <c r="P38" i="2"/>
  <c r="P39" i="2"/>
  <c r="P40" i="2"/>
  <c r="P41" i="2"/>
  <c r="P43" i="2"/>
  <c r="P44" i="2"/>
  <c r="P45" i="2"/>
  <c r="P26" i="2"/>
  <c r="P27" i="2"/>
  <c r="P28" i="2"/>
  <c r="P29" i="2"/>
  <c r="P30" i="2"/>
  <c r="P31" i="2"/>
  <c r="P32" i="2"/>
  <c r="P33" i="2"/>
  <c r="P34" i="2"/>
  <c r="P35" i="2"/>
  <c r="O26" i="2"/>
  <c r="O27" i="2"/>
  <c r="O28" i="2"/>
  <c r="O29" i="2"/>
  <c r="O30" i="2"/>
  <c r="O31" i="2"/>
  <c r="O32" i="2"/>
  <c r="O33" i="2"/>
  <c r="O34" i="2"/>
  <c r="O35" i="2"/>
  <c r="N34" i="2"/>
  <c r="N35" i="2"/>
  <c r="N26" i="2"/>
  <c r="N27" i="2"/>
  <c r="N28" i="2"/>
  <c r="N29" i="2"/>
  <c r="N30" i="2"/>
  <c r="N31" i="2"/>
  <c r="N32" i="2"/>
  <c r="N33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5" i="2"/>
  <c r="O20" i="2"/>
  <c r="O21" i="2"/>
  <c r="O22" i="2"/>
  <c r="O23" i="2"/>
  <c r="O24" i="2"/>
  <c r="O2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5" i="2"/>
  <c r="N25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6" i="2"/>
  <c r="C5" i="2"/>
  <c r="B5" i="2"/>
  <c r="A6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5" i="1"/>
  <c r="A17" i="1"/>
  <c r="A18" i="1"/>
  <c r="A19" i="1"/>
  <c r="A20" i="1"/>
  <c r="A21" i="1"/>
  <c r="A22" i="1"/>
  <c r="A23" i="1"/>
  <c r="A24" i="1"/>
  <c r="A25" i="1"/>
  <c r="A7" i="1"/>
  <c r="A8" i="1"/>
  <c r="A9" i="1"/>
  <c r="A10" i="1"/>
  <c r="A11" i="1"/>
  <c r="A12" i="1"/>
  <c r="A13" i="1"/>
  <c r="A14" i="1"/>
  <c r="A15" i="1"/>
  <c r="A16" i="1"/>
  <c r="A6" i="1"/>
  <c r="C6" i="2" l="1"/>
  <c r="B6" i="2"/>
  <c r="A7" i="2"/>
  <c r="B7" i="2" l="1"/>
  <c r="C7" i="2"/>
  <c r="A8" i="2"/>
  <c r="B8" i="2" l="1"/>
  <c r="C8" i="2"/>
  <c r="A9" i="2"/>
  <c r="B9" i="2" l="1"/>
  <c r="C9" i="2"/>
  <c r="A10" i="2"/>
  <c r="B10" i="2" l="1"/>
  <c r="C10" i="2"/>
  <c r="A11" i="2"/>
  <c r="B11" i="2" l="1"/>
  <c r="C11" i="2"/>
  <c r="A12" i="2"/>
  <c r="B12" i="2" l="1"/>
  <c r="C12" i="2"/>
  <c r="A13" i="2"/>
  <c r="B13" i="2" l="1"/>
  <c r="C13" i="2"/>
  <c r="A14" i="2"/>
  <c r="B14" i="2" l="1"/>
  <c r="C14" i="2"/>
  <c r="A15" i="2"/>
  <c r="B15" i="2" l="1"/>
  <c r="C15" i="2"/>
  <c r="A16" i="2"/>
  <c r="B16" i="2" l="1"/>
  <c r="C16" i="2"/>
  <c r="A17" i="2"/>
  <c r="B17" i="2" l="1"/>
  <c r="C17" i="2"/>
  <c r="A18" i="2"/>
  <c r="B18" i="2" l="1"/>
  <c r="C18" i="2"/>
  <c r="A19" i="2"/>
  <c r="B19" i="2" l="1"/>
  <c r="C19" i="2"/>
  <c r="A20" i="2"/>
  <c r="A21" i="2" l="1"/>
  <c r="B20" i="2"/>
  <c r="C20" i="2"/>
  <c r="B21" i="2" l="1"/>
  <c r="C21" i="2"/>
  <c r="A22" i="2"/>
  <c r="B22" i="2" l="1"/>
  <c r="C22" i="2"/>
  <c r="A23" i="2"/>
  <c r="B23" i="2" l="1"/>
  <c r="C23" i="2"/>
  <c r="A24" i="2"/>
  <c r="B24" i="2" l="1"/>
  <c r="C24" i="2"/>
  <c r="A25" i="2"/>
  <c r="A26" i="2" l="1"/>
  <c r="B25" i="2"/>
  <c r="C25" i="2"/>
  <c r="B26" i="2" l="1"/>
  <c r="C26" i="2"/>
  <c r="A27" i="2"/>
  <c r="B27" i="2" l="1"/>
  <c r="C27" i="2"/>
</calcChain>
</file>

<file path=xl/sharedStrings.xml><?xml version="1.0" encoding="utf-8"?>
<sst xmlns="http://schemas.openxmlformats.org/spreadsheetml/2006/main" count="54" uniqueCount="33">
  <si>
    <t>7x + 14y = 70</t>
  </si>
  <si>
    <t>c</t>
  </si>
  <si>
    <t>x</t>
  </si>
  <si>
    <t>3x + 4y = 120</t>
  </si>
  <si>
    <t xml:space="preserve">Y = </t>
  </si>
  <si>
    <t>Y =</t>
  </si>
  <si>
    <t>y</t>
  </si>
  <si>
    <t>p =</t>
  </si>
  <si>
    <t>q^2</t>
  </si>
  <si>
    <t xml:space="preserve">p = </t>
  </si>
  <si>
    <t>+</t>
  </si>
  <si>
    <t>q</t>
  </si>
  <si>
    <t>q =</t>
  </si>
  <si>
    <t>-p//4</t>
  </si>
  <si>
    <t xml:space="preserve"> =&gt;</t>
  </si>
  <si>
    <t xml:space="preserve">q = </t>
  </si>
  <si>
    <t>-</t>
  </si>
  <si>
    <t>p</t>
  </si>
  <si>
    <t>q/</t>
  </si>
  <si>
    <t>quantità</t>
  </si>
  <si>
    <t>domanda</t>
  </si>
  <si>
    <t>offerta</t>
  </si>
  <si>
    <t>richieste</t>
  </si>
  <si>
    <t>produzione</t>
  </si>
  <si>
    <t>prezzo (€)</t>
  </si>
  <si>
    <t>R=</t>
  </si>
  <si>
    <t>R =</t>
  </si>
  <si>
    <t>C=</t>
  </si>
  <si>
    <t>q^2/5</t>
  </si>
  <si>
    <t>C =</t>
  </si>
  <si>
    <t>q^3</t>
  </si>
  <si>
    <t>ricavi</t>
  </si>
  <si>
    <t>costi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</si>
</sst>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{"vincolo di bilancio"}</c:f>
              <c:strCache>
                <c:ptCount val="1"/>
                <c:pt idx="0">
                  <c:v>vincolo di bilancio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VincoloDiBilancio!$A$5:$A$25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VincoloDiBilancio!$B$5:$B$25</c:f>
              <c:numCache>
                <c:formatCode>General</c:formatCode>
                <c:ptCount val="2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12.5</c:v>
                </c:pt>
                <c:pt idx="16">
                  <c:v>13</c:v>
                </c:pt>
                <c:pt idx="17">
                  <c:v>13.5</c:v>
                </c:pt>
                <c:pt idx="18">
                  <c:v>14</c:v>
                </c:pt>
                <c:pt idx="19">
                  <c:v>14.5</c:v>
                </c:pt>
                <c:pt idx="2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E-42CA-9CDA-EE70A781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40040"/>
        <c:axId val="2029742088"/>
      </c:scatterChart>
      <c:valAx>
        <c:axId val="202974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2088"/>
        <c:crosses val="autoZero"/>
        <c:crossBetween val="midCat"/>
      </c:valAx>
      <c:valAx>
        <c:axId val="202974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Vincolo Di Bilancio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VincoloDiBilancio!$N$4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VincoloDiBilancio!$M$5:$M$25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VincoloDiBilancio!$N$5:$N$25</c:f>
              <c:numCache>
                <c:formatCode>General</c:formatCode>
                <c:ptCount val="21"/>
                <c:pt idx="0">
                  <c:v>30</c:v>
                </c:pt>
                <c:pt idx="1">
                  <c:v>30.75</c:v>
                </c:pt>
                <c:pt idx="2">
                  <c:v>31.5</c:v>
                </c:pt>
                <c:pt idx="3">
                  <c:v>32.25</c:v>
                </c:pt>
                <c:pt idx="4">
                  <c:v>33</c:v>
                </c:pt>
                <c:pt idx="5">
                  <c:v>33.75</c:v>
                </c:pt>
                <c:pt idx="6">
                  <c:v>34.5</c:v>
                </c:pt>
                <c:pt idx="7">
                  <c:v>35.25</c:v>
                </c:pt>
                <c:pt idx="8">
                  <c:v>36</c:v>
                </c:pt>
                <c:pt idx="9">
                  <c:v>36.75</c:v>
                </c:pt>
                <c:pt idx="10">
                  <c:v>37.5</c:v>
                </c:pt>
                <c:pt idx="11">
                  <c:v>38.25</c:v>
                </c:pt>
                <c:pt idx="12">
                  <c:v>39</c:v>
                </c:pt>
                <c:pt idx="13">
                  <c:v>39.75</c:v>
                </c:pt>
                <c:pt idx="14">
                  <c:v>40.5</c:v>
                </c:pt>
                <c:pt idx="15">
                  <c:v>41.25</c:v>
                </c:pt>
                <c:pt idx="16">
                  <c:v>42</c:v>
                </c:pt>
                <c:pt idx="17">
                  <c:v>42.75</c:v>
                </c:pt>
                <c:pt idx="18">
                  <c:v>43.5</c:v>
                </c:pt>
                <c:pt idx="19">
                  <c:v>44.25</c:v>
                </c:pt>
                <c:pt idx="20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5E-4675-83B9-970B38DD9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081544"/>
        <c:axId val="2104442888"/>
      </c:scatterChart>
      <c:valAx>
        <c:axId val="203808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42888"/>
        <c:crosses val="autoZero"/>
        <c:crossBetween val="midCat"/>
      </c:valAx>
      <c:valAx>
        <c:axId val="210444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081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{"domanda"}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curvaDiOffertaDomanda!A5:A27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curvaDiOffertaDomanda!B5:B27</c:f>
              <c:numCache>
                <c:formatCode>General</c:formatCode>
                <c:ptCount val="23"/>
                <c:pt idx="0">
                  <c:v>90</c:v>
                </c:pt>
                <c:pt idx="1">
                  <c:v>86</c:v>
                </c:pt>
                <c:pt idx="2">
                  <c:v>82</c:v>
                </c:pt>
                <c:pt idx="3">
                  <c:v>78</c:v>
                </c:pt>
                <c:pt idx="4">
                  <c:v>74</c:v>
                </c:pt>
                <c:pt idx="5">
                  <c:v>70</c:v>
                </c:pt>
                <c:pt idx="6">
                  <c:v>66</c:v>
                </c:pt>
                <c:pt idx="7">
                  <c:v>62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  <c:pt idx="11">
                  <c:v>46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30</c:v>
                </c:pt>
                <c:pt idx="16">
                  <c:v>26</c:v>
                </c:pt>
                <c:pt idx="17">
                  <c:v>22</c:v>
                </c:pt>
                <c:pt idx="18">
                  <c:v>18</c:v>
                </c:pt>
                <c:pt idx="19">
                  <c:v>14</c:v>
                </c:pt>
                <c:pt idx="20">
                  <c:v>10</c:v>
                </c:pt>
                <c:pt idx="21">
                  <c:v>6</c:v>
                </c:pt>
                <c:pt idx="2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0-47CA-91C6-6A27C24BF649}"/>
            </c:ext>
          </c:extLst>
        </c:ser>
        <c:ser>
          <c:idx val="1"/>
          <c:order val="1"/>
          <c:tx>
            <c:strRef>
              <c:f>{"offerta"}</c:f>
              <c:strCache>
                <c:ptCount val="1"/>
                <c:pt idx="0">
                  <c:v>offerta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19050" cap="rnd" cmpd="sng" algn="ctr">
                <a:solidFill>
                  <a:srgbClr val="0070B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0-47CA-91C6-6A27C24BF649}"/>
              </c:ext>
            </c:extLst>
          </c:dPt>
          <c:xVal>
            <c:numRef>
              <c:f>curvaDiOffertaDomanda!A5:A27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curvaDiOffertaDomanda!C5:C27</c:f>
              <c:numCache>
                <c:formatCode>General</c:formatCode>
                <c:ptCount val="23"/>
                <c:pt idx="0">
                  <c:v>10</c:v>
                </c:pt>
                <c:pt idx="1">
                  <c:v>10.01</c:v>
                </c:pt>
                <c:pt idx="2">
                  <c:v>10.039999999999999</c:v>
                </c:pt>
                <c:pt idx="3">
                  <c:v>10.09</c:v>
                </c:pt>
                <c:pt idx="4">
                  <c:v>10.16</c:v>
                </c:pt>
                <c:pt idx="5">
                  <c:v>10.25</c:v>
                </c:pt>
                <c:pt idx="6">
                  <c:v>10.36</c:v>
                </c:pt>
                <c:pt idx="7">
                  <c:v>10.49</c:v>
                </c:pt>
                <c:pt idx="8">
                  <c:v>10.64</c:v>
                </c:pt>
                <c:pt idx="9">
                  <c:v>10.81</c:v>
                </c:pt>
                <c:pt idx="10">
                  <c:v>11</c:v>
                </c:pt>
                <c:pt idx="11">
                  <c:v>11.21</c:v>
                </c:pt>
                <c:pt idx="12">
                  <c:v>11.44</c:v>
                </c:pt>
                <c:pt idx="13">
                  <c:v>11.69</c:v>
                </c:pt>
                <c:pt idx="14">
                  <c:v>11.96</c:v>
                </c:pt>
                <c:pt idx="15">
                  <c:v>12.25</c:v>
                </c:pt>
                <c:pt idx="16">
                  <c:v>12.56</c:v>
                </c:pt>
                <c:pt idx="17">
                  <c:v>12.89</c:v>
                </c:pt>
                <c:pt idx="18">
                  <c:v>13.24</c:v>
                </c:pt>
                <c:pt idx="19">
                  <c:v>13.61</c:v>
                </c:pt>
                <c:pt idx="20">
                  <c:v>14</c:v>
                </c:pt>
                <c:pt idx="21">
                  <c:v>14.41</c:v>
                </c:pt>
                <c:pt idx="22">
                  <c:v>14.84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10-47CA-91C6-6A27C24B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599752"/>
        <c:axId val="1533601800"/>
      </c:scatterChart>
      <c:valAx>
        <c:axId val="153359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01800"/>
        <c:crosses val="autoZero"/>
        <c:crossBetween val="midCat"/>
      </c:valAx>
      <c:valAx>
        <c:axId val="153360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99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domanda e offerta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curvaDiOffertaDomanda!$O$4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curvaDiOffertaDomanda!N5:N45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curvaDiOffertaDomanda!O5:O45</c:f>
              <c:numCache>
                <c:formatCode>General</c:formatCode>
                <c:ptCount val="41"/>
                <c:pt idx="0">
                  <c:v>100</c:v>
                </c:pt>
                <c:pt idx="1">
                  <c:v>99.6</c:v>
                </c:pt>
                <c:pt idx="2">
                  <c:v>99.2</c:v>
                </c:pt>
                <c:pt idx="3">
                  <c:v>98.8</c:v>
                </c:pt>
                <c:pt idx="4">
                  <c:v>98.4</c:v>
                </c:pt>
                <c:pt idx="5">
                  <c:v>98</c:v>
                </c:pt>
                <c:pt idx="6">
                  <c:v>97.6</c:v>
                </c:pt>
                <c:pt idx="7">
                  <c:v>97.2</c:v>
                </c:pt>
                <c:pt idx="8">
                  <c:v>96.8</c:v>
                </c:pt>
                <c:pt idx="9">
                  <c:v>96.4</c:v>
                </c:pt>
                <c:pt idx="10">
                  <c:v>96</c:v>
                </c:pt>
                <c:pt idx="11">
                  <c:v>95.6</c:v>
                </c:pt>
                <c:pt idx="12">
                  <c:v>95.2</c:v>
                </c:pt>
                <c:pt idx="13">
                  <c:v>94.8</c:v>
                </c:pt>
                <c:pt idx="14">
                  <c:v>94.4</c:v>
                </c:pt>
                <c:pt idx="15">
                  <c:v>94</c:v>
                </c:pt>
                <c:pt idx="16">
                  <c:v>93.6</c:v>
                </c:pt>
                <c:pt idx="17">
                  <c:v>93.2</c:v>
                </c:pt>
                <c:pt idx="18">
                  <c:v>92.8</c:v>
                </c:pt>
                <c:pt idx="19">
                  <c:v>92.4</c:v>
                </c:pt>
                <c:pt idx="20">
                  <c:v>92</c:v>
                </c:pt>
                <c:pt idx="21">
                  <c:v>91.6</c:v>
                </c:pt>
                <c:pt idx="22">
                  <c:v>91.2</c:v>
                </c:pt>
                <c:pt idx="23">
                  <c:v>90.8</c:v>
                </c:pt>
                <c:pt idx="24">
                  <c:v>90.4</c:v>
                </c:pt>
                <c:pt idx="25">
                  <c:v>90</c:v>
                </c:pt>
                <c:pt idx="26">
                  <c:v>89.6</c:v>
                </c:pt>
                <c:pt idx="27">
                  <c:v>89.2</c:v>
                </c:pt>
                <c:pt idx="28">
                  <c:v>88.8</c:v>
                </c:pt>
                <c:pt idx="29">
                  <c:v>88.4</c:v>
                </c:pt>
                <c:pt idx="30">
                  <c:v>88</c:v>
                </c:pt>
                <c:pt idx="31">
                  <c:v>87.6</c:v>
                </c:pt>
                <c:pt idx="32">
                  <c:v>87.2</c:v>
                </c:pt>
                <c:pt idx="33">
                  <c:v>86.8</c:v>
                </c:pt>
                <c:pt idx="34">
                  <c:v>86.4</c:v>
                </c:pt>
                <c:pt idx="35">
                  <c:v>86</c:v>
                </c:pt>
                <c:pt idx="36">
                  <c:v>85.6</c:v>
                </c:pt>
                <c:pt idx="37">
                  <c:v>85.2</c:v>
                </c:pt>
                <c:pt idx="38">
                  <c:v>84.8</c:v>
                </c:pt>
                <c:pt idx="39">
                  <c:v>84.4</c:v>
                </c:pt>
                <c:pt idx="40">
                  <c:v>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13-4FEF-BB99-2B6A8D25D9BC}"/>
            </c:ext>
          </c:extLst>
        </c:ser>
        <c:ser>
          <c:idx val="1"/>
          <c:order val="1"/>
          <c:tx>
            <c:strRef>
              <c:f>{"offerta"}</c:f>
              <c:strCache>
                <c:ptCount val="1"/>
                <c:pt idx="0">
                  <c:v>offerta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curvaDiOffertaDomanda!N5:N45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curvaDiOffertaDomanda!P5:P45</c:f>
              <c:numCache>
                <c:formatCode>General</c:formatCode>
                <c:ptCount val="41"/>
                <c:pt idx="0">
                  <c:v>50</c:v>
                </c:pt>
                <c:pt idx="1">
                  <c:v>50.4</c:v>
                </c:pt>
                <c:pt idx="2">
                  <c:v>50.8</c:v>
                </c:pt>
                <c:pt idx="3">
                  <c:v>51.2</c:v>
                </c:pt>
                <c:pt idx="4">
                  <c:v>51.6</c:v>
                </c:pt>
                <c:pt idx="5">
                  <c:v>52</c:v>
                </c:pt>
                <c:pt idx="6">
                  <c:v>52.4</c:v>
                </c:pt>
                <c:pt idx="7">
                  <c:v>52.8</c:v>
                </c:pt>
                <c:pt idx="8">
                  <c:v>53.2</c:v>
                </c:pt>
                <c:pt idx="9">
                  <c:v>53.6</c:v>
                </c:pt>
                <c:pt idx="10">
                  <c:v>54</c:v>
                </c:pt>
                <c:pt idx="11">
                  <c:v>54.4</c:v>
                </c:pt>
                <c:pt idx="12">
                  <c:v>54.8</c:v>
                </c:pt>
                <c:pt idx="13">
                  <c:v>55.2</c:v>
                </c:pt>
                <c:pt idx="14">
                  <c:v>55.6</c:v>
                </c:pt>
                <c:pt idx="15">
                  <c:v>56</c:v>
                </c:pt>
                <c:pt idx="16">
                  <c:v>56.4</c:v>
                </c:pt>
                <c:pt idx="17">
                  <c:v>56.8</c:v>
                </c:pt>
                <c:pt idx="18">
                  <c:v>57.2</c:v>
                </c:pt>
                <c:pt idx="19">
                  <c:v>57.6</c:v>
                </c:pt>
                <c:pt idx="20">
                  <c:v>58</c:v>
                </c:pt>
                <c:pt idx="21">
                  <c:v>58.4</c:v>
                </c:pt>
                <c:pt idx="22">
                  <c:v>58.8</c:v>
                </c:pt>
                <c:pt idx="23">
                  <c:v>59.2</c:v>
                </c:pt>
                <c:pt idx="24">
                  <c:v>59.6</c:v>
                </c:pt>
                <c:pt idx="25">
                  <c:v>60</c:v>
                </c:pt>
                <c:pt idx="26">
                  <c:v>60.4</c:v>
                </c:pt>
                <c:pt idx="27">
                  <c:v>60.8</c:v>
                </c:pt>
                <c:pt idx="28">
                  <c:v>61.2</c:v>
                </c:pt>
                <c:pt idx="29">
                  <c:v>61.6</c:v>
                </c:pt>
                <c:pt idx="30">
                  <c:v>62</c:v>
                </c:pt>
                <c:pt idx="31">
                  <c:v>62.4</c:v>
                </c:pt>
                <c:pt idx="32">
                  <c:v>62.8</c:v>
                </c:pt>
                <c:pt idx="33">
                  <c:v>63.2</c:v>
                </c:pt>
                <c:pt idx="34">
                  <c:v>63.6</c:v>
                </c:pt>
                <c:pt idx="35">
                  <c:v>64</c:v>
                </c:pt>
                <c:pt idx="36">
                  <c:v>64.400000000000006</c:v>
                </c:pt>
                <c:pt idx="37">
                  <c:v>64.8</c:v>
                </c:pt>
                <c:pt idx="38">
                  <c:v>65.2</c:v>
                </c:pt>
                <c:pt idx="39">
                  <c:v>65.599999999999994</c:v>
                </c:pt>
                <c:pt idx="40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13-4FEF-BB99-2B6A8D25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435848"/>
        <c:axId val="1606476808"/>
      </c:scatterChart>
      <c:valAx>
        <c:axId val="160643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76808"/>
        <c:crosses val="autoZero"/>
        <c:crossBetween val="midCat"/>
      </c:valAx>
      <c:valAx>
        <c:axId val="16064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3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{"Domanda"}</c:f>
              <c:strCache>
                <c:ptCount val="1"/>
                <c:pt idx="0">
                  <c:v>Domanda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DomandaOfferta!A2:A8</c:f>
              <c:numCache>
                <c:formatCode>General</c:formatCode>
                <c:ptCount val="7"/>
                <c:pt idx="0">
                  <c:v>30000</c:v>
                </c:pt>
                <c:pt idx="1">
                  <c:v>20000</c:v>
                </c:pt>
                <c:pt idx="2">
                  <c:v>17000</c:v>
                </c:pt>
                <c:pt idx="3">
                  <c:v>12000</c:v>
                </c:pt>
                <c:pt idx="4">
                  <c:v>10000</c:v>
                </c:pt>
                <c:pt idx="5">
                  <c:v>8000</c:v>
                </c:pt>
                <c:pt idx="6">
                  <c:v>5000</c:v>
                </c:pt>
              </c:numCache>
            </c:numRef>
          </c:xVal>
          <c:yVal>
            <c:numRef>
              <c:f>DomandaOfferta!C2:C8</c:f>
              <c:numCache>
                <c:formatCode>General</c:formatCode>
                <c:ptCount val="7"/>
                <c:pt idx="0">
                  <c:v>300</c:v>
                </c:pt>
                <c:pt idx="1">
                  <c:v>320</c:v>
                </c:pt>
                <c:pt idx="2">
                  <c:v>370</c:v>
                </c:pt>
                <c:pt idx="3">
                  <c:v>400</c:v>
                </c:pt>
                <c:pt idx="4">
                  <c:v>410</c:v>
                </c:pt>
                <c:pt idx="5">
                  <c:v>420</c:v>
                </c:pt>
                <c:pt idx="6">
                  <c:v>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E4-478A-9558-D016DED7D33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DomandaOfferta!B2:B8</c:f>
              <c:numCache>
                <c:formatCode>General</c:formatCode>
                <c:ptCount val="7"/>
                <c:pt idx="0">
                  <c:v>5000</c:v>
                </c:pt>
                <c:pt idx="1">
                  <c:v>8000</c:v>
                </c:pt>
                <c:pt idx="2">
                  <c:v>9000</c:v>
                </c:pt>
                <c:pt idx="3">
                  <c:v>10000</c:v>
                </c:pt>
                <c:pt idx="4">
                  <c:v>11000</c:v>
                </c:pt>
                <c:pt idx="5">
                  <c:v>12000</c:v>
                </c:pt>
                <c:pt idx="6">
                  <c:v>13000</c:v>
                </c:pt>
              </c:numCache>
            </c:numRef>
          </c:xVal>
          <c:yVal>
            <c:numRef>
              <c:f>DomandaOfferta!C2:C8</c:f>
              <c:numCache>
                <c:formatCode>General</c:formatCode>
                <c:ptCount val="7"/>
                <c:pt idx="0">
                  <c:v>300</c:v>
                </c:pt>
                <c:pt idx="1">
                  <c:v>320</c:v>
                </c:pt>
                <c:pt idx="2">
                  <c:v>370</c:v>
                </c:pt>
                <c:pt idx="3">
                  <c:v>400</c:v>
                </c:pt>
                <c:pt idx="4">
                  <c:v>410</c:v>
                </c:pt>
                <c:pt idx="5">
                  <c:v>420</c:v>
                </c:pt>
                <c:pt idx="6">
                  <c:v>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E4-478A-9558-D016DED7D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909832"/>
        <c:axId val="2104456712"/>
      </c:scatterChart>
      <c:valAx>
        <c:axId val="2032909832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56712"/>
        <c:crosses val="autoZero"/>
        <c:crossBetween val="midCat"/>
      </c:valAx>
      <c:valAx>
        <c:axId val="210445671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098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ricavoCosto!$B$4</c:f>
              <c:strCache>
                <c:ptCount val="1"/>
                <c:pt idx="0">
                  <c:v>ricavi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ricavoCosto!$A$5:$A$25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ricavoCosto!$B$5:$B$25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AC-46E7-A225-8F60D2DD1478}"/>
            </c:ext>
          </c:extLst>
        </c:ser>
        <c:ser>
          <c:idx val="1"/>
          <c:order val="1"/>
          <c:tx>
            <c:strRef>
              <c:f>{"costi"}</c:f>
              <c:strCache>
                <c:ptCount val="1"/>
                <c:pt idx="0">
                  <c:v>costi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ricavoCosto!A5:A25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ricavoCosto!C5:C25</c:f>
              <c:numCache>
                <c:formatCode>0.00</c:formatCode>
                <c:ptCount val="21"/>
                <c:pt idx="0">
                  <c:v>10</c:v>
                </c:pt>
                <c:pt idx="1">
                  <c:v>10.015000000000001</c:v>
                </c:pt>
                <c:pt idx="2">
                  <c:v>10.019792618661594</c:v>
                </c:pt>
                <c:pt idx="3">
                  <c:v>10.023277683608731</c:v>
                </c:pt>
                <c:pt idx="4">
                  <c:v>10.026116516898885</c:v>
                </c:pt>
                <c:pt idx="5">
                  <c:v>10.028554809080738</c:v>
                </c:pt>
                <c:pt idx="6">
                  <c:v>10.030715087666188</c:v>
                </c:pt>
                <c:pt idx="7">
                  <c:v>10.032668596367241</c:v>
                </c:pt>
                <c:pt idx="8">
                  <c:v>10.034460950649912</c:v>
                </c:pt>
                <c:pt idx="9">
                  <c:v>10.03612337027921</c:v>
                </c:pt>
                <c:pt idx="10">
                  <c:v>10.037678296472643</c:v>
                </c:pt>
                <c:pt idx="11">
                  <c:v>10.039142479529183</c:v>
                </c:pt>
                <c:pt idx="12">
                  <c:v>10.040528801155618</c:v>
                </c:pt>
                <c:pt idx="13">
                  <c:v>10.041847411538336</c:v>
                </c:pt>
                <c:pt idx="14">
                  <c:v>10.043106471340423</c:v>
                </c:pt>
                <c:pt idx="15">
                  <c:v>10.044312654085942</c:v>
                </c:pt>
                <c:pt idx="16">
                  <c:v>10.045471496995312</c:v>
                </c:pt>
                <c:pt idx="17">
                  <c:v>10.046587652523966</c:v>
                </c:pt>
                <c:pt idx="18">
                  <c:v>10.047665072847197</c:v>
                </c:pt>
                <c:pt idx="19">
                  <c:v>10.048707147867034</c:v>
                </c:pt>
                <c:pt idx="20">
                  <c:v>10.049716810260099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AC-46E7-A225-8F60D2DD1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125448"/>
        <c:axId val="1624139272"/>
      </c:scatterChart>
      <c:valAx>
        <c:axId val="162412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39272"/>
        <c:crosses val="autoZero"/>
        <c:crossBetween val="midCat"/>
      </c:valAx>
      <c:valAx>
        <c:axId val="162413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25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ricavoCosto!$N$4</c:f>
              <c:strCache>
                <c:ptCount val="1"/>
                <c:pt idx="0">
                  <c:v>ricavi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ricavoCosto!$M$5:$M$25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ricavoCosto!$N$5:$N$25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3E-4302-8620-29416591C52B}"/>
            </c:ext>
          </c:extLst>
        </c:ser>
        <c:ser>
          <c:idx val="1"/>
          <c:order val="1"/>
          <c:tx>
            <c:strRef>
              <c:f>{"costi"}</c:f>
              <c:strCache>
                <c:ptCount val="1"/>
                <c:pt idx="0">
                  <c:v>costi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ricavoCosto!M5:M25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ricavoCosto!O5:O25</c:f>
              <c:numCache>
                <c:formatCode>General</c:formatCode>
                <c:ptCount val="21"/>
                <c:pt idx="0">
                  <c:v>15</c:v>
                </c:pt>
                <c:pt idx="1">
                  <c:v>15.01</c:v>
                </c:pt>
                <c:pt idx="2">
                  <c:v>15.08</c:v>
                </c:pt>
                <c:pt idx="3">
                  <c:v>15.27</c:v>
                </c:pt>
                <c:pt idx="4">
                  <c:v>15.64</c:v>
                </c:pt>
                <c:pt idx="5">
                  <c:v>16.25</c:v>
                </c:pt>
                <c:pt idx="6">
                  <c:v>17.16</c:v>
                </c:pt>
                <c:pt idx="7">
                  <c:v>18.43</c:v>
                </c:pt>
                <c:pt idx="8">
                  <c:v>20.12</c:v>
                </c:pt>
                <c:pt idx="9">
                  <c:v>22.29</c:v>
                </c:pt>
                <c:pt idx="10">
                  <c:v>25</c:v>
                </c:pt>
                <c:pt idx="11">
                  <c:v>28.310000000000002</c:v>
                </c:pt>
                <c:pt idx="12">
                  <c:v>32.28</c:v>
                </c:pt>
                <c:pt idx="13">
                  <c:v>36.97</c:v>
                </c:pt>
                <c:pt idx="14">
                  <c:v>42.44</c:v>
                </c:pt>
                <c:pt idx="15">
                  <c:v>48.75</c:v>
                </c:pt>
                <c:pt idx="16">
                  <c:v>55.96</c:v>
                </c:pt>
                <c:pt idx="17">
                  <c:v>64.13</c:v>
                </c:pt>
                <c:pt idx="18">
                  <c:v>73.319999999999993</c:v>
                </c:pt>
                <c:pt idx="19">
                  <c:v>83.59</c:v>
                </c:pt>
                <c:pt idx="20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3E-4302-8620-29416591C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409480"/>
        <c:axId val="1610411528"/>
      </c:scatterChart>
      <c:valAx>
        <c:axId val="161040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11528"/>
        <c:crosses val="autoZero"/>
        <c:crossBetween val="midCat"/>
      </c:valAx>
      <c:valAx>
        <c:axId val="161041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09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0</xdr:rowOff>
    </xdr:from>
    <xdr:to>
      <xdr:col>10</xdr:col>
      <xdr:colOff>361950</xdr:colOff>
      <xdr:row>18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B0C3312-8D7B-927A-B177-682C892AC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3</xdr:row>
      <xdr:rowOff>133350</xdr:rowOff>
    </xdr:from>
    <xdr:to>
      <xdr:col>22</xdr:col>
      <xdr:colOff>333375</xdr:colOff>
      <xdr:row>18</xdr:row>
      <xdr:rowOff>19050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2FFF1F5-0E0E-11D4-10B1-9A572FC0EB97}"/>
            </a:ext>
            <a:ext uri="{147F2762-F138-4A5C-976F-8EAC2B608ADB}">
              <a16:predDERef xmlns:a16="http://schemas.microsoft.com/office/drawing/2014/main" pred="{2B0C3312-8D7B-927A-B177-682C892AC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5</xdr:row>
      <xdr:rowOff>0</xdr:rowOff>
    </xdr:from>
    <xdr:to>
      <xdr:col>12</xdr:col>
      <xdr:colOff>342900</xdr:colOff>
      <xdr:row>19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69DD5E2-D50A-D450-586D-AF3B06492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3</xdr:row>
      <xdr:rowOff>0</xdr:rowOff>
    </xdr:from>
    <xdr:to>
      <xdr:col>24</xdr:col>
      <xdr:colOff>314325</xdr:colOff>
      <xdr:row>17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71F7F2A-0C02-68E4-4DDF-39FA5416A08F}"/>
            </a:ext>
            <a:ext uri="{147F2762-F138-4A5C-976F-8EAC2B608ADB}">
              <a16:predDERef xmlns:a16="http://schemas.microsoft.com/office/drawing/2014/main" pred="{F69DD5E2-D50A-D450-586D-AF3B06492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4</xdr:row>
      <xdr:rowOff>142875</xdr:rowOff>
    </xdr:from>
    <xdr:to>
      <xdr:col>15</xdr:col>
      <xdr:colOff>85725</xdr:colOff>
      <xdr:row>19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24835D9-F2F5-5930-1AC3-2F9F01CF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180975</xdr:rowOff>
    </xdr:from>
    <xdr:to>
      <xdr:col>11</xdr:col>
      <xdr:colOff>314325</xdr:colOff>
      <xdr:row>18</xdr:row>
      <xdr:rowOff>66675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2861245-55AE-5498-FC5C-AD98AD378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561975</xdr:colOff>
      <xdr:row>2</xdr:row>
      <xdr:rowOff>142875</xdr:rowOff>
    </xdr:from>
    <xdr:to>
      <xdr:col>23</xdr:col>
      <xdr:colOff>257175</xdr:colOff>
      <xdr:row>17</xdr:row>
      <xdr:rowOff>28575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F80C1CE-1470-01F2-B380-1E0229309469}"/>
            </a:ext>
            <a:ext uri="{147F2762-F138-4A5C-976F-8EAC2B608ADB}">
              <a16:predDERef xmlns:a16="http://schemas.microsoft.com/office/drawing/2014/main" pred="{32861245-55AE-5498-FC5C-AD98AD378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C1" workbookViewId="0">
      <selection activeCell="X14" sqref="X14"/>
    </sheetView>
  </sheetViews>
  <sheetFormatPr defaultRowHeight="15"/>
  <cols>
    <col min="1" max="1" width="12.140625" customWidth="1"/>
    <col min="12" max="12" width="12.140625" customWidth="1"/>
  </cols>
  <sheetData>
    <row r="1" spans="1:15">
      <c r="A1" t="s">
        <v>0</v>
      </c>
      <c r="B1" s="1" t="s">
        <v>1</v>
      </c>
      <c r="C1" s="1" t="s">
        <v>2</v>
      </c>
      <c r="L1" t="s">
        <v>3</v>
      </c>
      <c r="N1" s="1" t="s">
        <v>1</v>
      </c>
      <c r="O1" s="1" t="s">
        <v>2</v>
      </c>
    </row>
    <row r="2" spans="1:15">
      <c r="A2" s="1" t="s">
        <v>4</v>
      </c>
      <c r="B2">
        <v>5</v>
      </c>
      <c r="C2">
        <v>0.5</v>
      </c>
      <c r="D2" t="s">
        <v>2</v>
      </c>
      <c r="M2" s="1" t="s">
        <v>5</v>
      </c>
      <c r="N2">
        <v>30</v>
      </c>
      <c r="O2">
        <v>0.75</v>
      </c>
    </row>
    <row r="4" spans="1:15">
      <c r="A4" s="2" t="s">
        <v>2</v>
      </c>
      <c r="B4" s="2" t="s">
        <v>6</v>
      </c>
      <c r="M4" t="s">
        <v>2</v>
      </c>
      <c r="N4" t="s">
        <v>6</v>
      </c>
    </row>
    <row r="5" spans="1:15">
      <c r="A5">
        <v>0</v>
      </c>
      <c r="B5">
        <f xml:space="preserve"> $B$2 + ($C$2 * $A5)</f>
        <v>5</v>
      </c>
      <c r="M5">
        <v>0</v>
      </c>
      <c r="N5">
        <f>$N$2 + ($O$2 * $M5)</f>
        <v>30</v>
      </c>
    </row>
    <row r="6" spans="1:15">
      <c r="A6">
        <f>$A5 + 1</f>
        <v>1</v>
      </c>
      <c r="B6">
        <f t="shared" ref="B6:B25" si="0" xml:space="preserve"> $B$2 + ($C$2 * $A6)</f>
        <v>5.5</v>
      </c>
      <c r="M6">
        <f>$M5 + 1</f>
        <v>1</v>
      </c>
      <c r="N6">
        <f t="shared" ref="N6:N25" si="1">$N$2 + ($O$2 * $M6)</f>
        <v>30.75</v>
      </c>
    </row>
    <row r="7" spans="1:15">
      <c r="A7">
        <f t="shared" ref="A7:A25" si="2">$A6 + 1</f>
        <v>2</v>
      </c>
      <c r="B7">
        <f t="shared" si="0"/>
        <v>6</v>
      </c>
      <c r="M7">
        <f t="shared" ref="M7:M25" si="3">$M6 + 1</f>
        <v>2</v>
      </c>
      <c r="N7">
        <f t="shared" si="1"/>
        <v>31.5</v>
      </c>
    </row>
    <row r="8" spans="1:15">
      <c r="A8">
        <f t="shared" si="2"/>
        <v>3</v>
      </c>
      <c r="B8">
        <f t="shared" si="0"/>
        <v>6.5</v>
      </c>
      <c r="M8">
        <f t="shared" si="3"/>
        <v>3</v>
      </c>
      <c r="N8">
        <f t="shared" si="1"/>
        <v>32.25</v>
      </c>
    </row>
    <row r="9" spans="1:15">
      <c r="A9">
        <f t="shared" si="2"/>
        <v>4</v>
      </c>
      <c r="B9">
        <f t="shared" si="0"/>
        <v>7</v>
      </c>
      <c r="M9">
        <f t="shared" si="3"/>
        <v>4</v>
      </c>
      <c r="N9">
        <f t="shared" si="1"/>
        <v>33</v>
      </c>
    </row>
    <row r="10" spans="1:15">
      <c r="A10">
        <f t="shared" si="2"/>
        <v>5</v>
      </c>
      <c r="B10">
        <f t="shared" si="0"/>
        <v>7.5</v>
      </c>
      <c r="M10">
        <f t="shared" si="3"/>
        <v>5</v>
      </c>
      <c r="N10">
        <f t="shared" si="1"/>
        <v>33.75</v>
      </c>
    </row>
    <row r="11" spans="1:15">
      <c r="A11">
        <f t="shared" si="2"/>
        <v>6</v>
      </c>
      <c r="B11">
        <f t="shared" si="0"/>
        <v>8</v>
      </c>
      <c r="M11">
        <f t="shared" si="3"/>
        <v>6</v>
      </c>
      <c r="N11">
        <f t="shared" si="1"/>
        <v>34.5</v>
      </c>
    </row>
    <row r="12" spans="1:15">
      <c r="A12">
        <f t="shared" si="2"/>
        <v>7</v>
      </c>
      <c r="B12">
        <f t="shared" si="0"/>
        <v>8.5</v>
      </c>
      <c r="M12">
        <f t="shared" si="3"/>
        <v>7</v>
      </c>
      <c r="N12">
        <f t="shared" si="1"/>
        <v>35.25</v>
      </c>
    </row>
    <row r="13" spans="1:15">
      <c r="A13">
        <f t="shared" si="2"/>
        <v>8</v>
      </c>
      <c r="B13">
        <f t="shared" si="0"/>
        <v>9</v>
      </c>
      <c r="M13">
        <f t="shared" si="3"/>
        <v>8</v>
      </c>
      <c r="N13">
        <f t="shared" si="1"/>
        <v>36</v>
      </c>
    </row>
    <row r="14" spans="1:15">
      <c r="A14">
        <f t="shared" si="2"/>
        <v>9</v>
      </c>
      <c r="B14">
        <f t="shared" si="0"/>
        <v>9.5</v>
      </c>
      <c r="M14">
        <f t="shared" si="3"/>
        <v>9</v>
      </c>
      <c r="N14">
        <f t="shared" si="1"/>
        <v>36.75</v>
      </c>
    </row>
    <row r="15" spans="1:15">
      <c r="A15">
        <f t="shared" si="2"/>
        <v>10</v>
      </c>
      <c r="B15">
        <f t="shared" si="0"/>
        <v>10</v>
      </c>
      <c r="M15">
        <f t="shared" si="3"/>
        <v>10</v>
      </c>
      <c r="N15">
        <f t="shared" si="1"/>
        <v>37.5</v>
      </c>
    </row>
    <row r="16" spans="1:15">
      <c r="A16">
        <f t="shared" si="2"/>
        <v>11</v>
      </c>
      <c r="B16">
        <f t="shared" si="0"/>
        <v>10.5</v>
      </c>
      <c r="M16">
        <f t="shared" si="3"/>
        <v>11</v>
      </c>
      <c r="N16">
        <f t="shared" si="1"/>
        <v>38.25</v>
      </c>
    </row>
    <row r="17" spans="1:14">
      <c r="A17">
        <f>$A16 + 1</f>
        <v>12</v>
      </c>
      <c r="B17">
        <f t="shared" si="0"/>
        <v>11</v>
      </c>
      <c r="M17">
        <f t="shared" si="3"/>
        <v>12</v>
      </c>
      <c r="N17">
        <f t="shared" si="1"/>
        <v>39</v>
      </c>
    </row>
    <row r="18" spans="1:14">
      <c r="A18">
        <f t="shared" si="2"/>
        <v>13</v>
      </c>
      <c r="B18">
        <f t="shared" si="0"/>
        <v>11.5</v>
      </c>
      <c r="M18">
        <f t="shared" si="3"/>
        <v>13</v>
      </c>
      <c r="N18">
        <f t="shared" si="1"/>
        <v>39.75</v>
      </c>
    </row>
    <row r="19" spans="1:14">
      <c r="A19">
        <f t="shared" si="2"/>
        <v>14</v>
      </c>
      <c r="B19">
        <f t="shared" si="0"/>
        <v>12</v>
      </c>
      <c r="M19">
        <f t="shared" si="3"/>
        <v>14</v>
      </c>
      <c r="N19">
        <f t="shared" si="1"/>
        <v>40.5</v>
      </c>
    </row>
    <row r="20" spans="1:14">
      <c r="A20">
        <f t="shared" si="2"/>
        <v>15</v>
      </c>
      <c r="B20">
        <f t="shared" si="0"/>
        <v>12.5</v>
      </c>
      <c r="M20">
        <f t="shared" si="3"/>
        <v>15</v>
      </c>
      <c r="N20">
        <f t="shared" si="1"/>
        <v>41.25</v>
      </c>
    </row>
    <row r="21" spans="1:14">
      <c r="A21">
        <f t="shared" si="2"/>
        <v>16</v>
      </c>
      <c r="B21">
        <f t="shared" si="0"/>
        <v>13</v>
      </c>
      <c r="M21">
        <f t="shared" si="3"/>
        <v>16</v>
      </c>
      <c r="N21">
        <f t="shared" si="1"/>
        <v>42</v>
      </c>
    </row>
    <row r="22" spans="1:14">
      <c r="A22">
        <f t="shared" si="2"/>
        <v>17</v>
      </c>
      <c r="B22">
        <f t="shared" si="0"/>
        <v>13.5</v>
      </c>
      <c r="M22">
        <f t="shared" si="3"/>
        <v>17</v>
      </c>
      <c r="N22">
        <f t="shared" si="1"/>
        <v>42.75</v>
      </c>
    </row>
    <row r="23" spans="1:14">
      <c r="A23">
        <f t="shared" si="2"/>
        <v>18</v>
      </c>
      <c r="B23">
        <f t="shared" si="0"/>
        <v>14</v>
      </c>
      <c r="M23">
        <f t="shared" si="3"/>
        <v>18</v>
      </c>
      <c r="N23">
        <f t="shared" si="1"/>
        <v>43.5</v>
      </c>
    </row>
    <row r="24" spans="1:14">
      <c r="A24">
        <f t="shared" si="2"/>
        <v>19</v>
      </c>
      <c r="B24">
        <f t="shared" si="0"/>
        <v>14.5</v>
      </c>
      <c r="M24">
        <f t="shared" si="3"/>
        <v>19</v>
      </c>
      <c r="N24">
        <f t="shared" si="1"/>
        <v>44.25</v>
      </c>
    </row>
    <row r="25" spans="1:14">
      <c r="A25">
        <f t="shared" si="2"/>
        <v>20</v>
      </c>
      <c r="B25">
        <f t="shared" si="0"/>
        <v>15</v>
      </c>
      <c r="M25">
        <f t="shared" si="3"/>
        <v>20</v>
      </c>
      <c r="N25">
        <f t="shared" si="1"/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F969-F155-418A-B8A6-E3A90F00F7D9}">
  <dimension ref="A1:W45"/>
  <sheetViews>
    <sheetView workbookViewId="0">
      <selection activeCell="V27" sqref="V27"/>
    </sheetView>
  </sheetViews>
  <sheetFormatPr defaultRowHeight="15"/>
  <sheetData>
    <row r="1" spans="1:23">
      <c r="A1" s="3" t="s">
        <v>7</v>
      </c>
      <c r="B1">
        <v>0.01</v>
      </c>
      <c r="C1" t="s">
        <v>8</v>
      </c>
      <c r="D1">
        <v>10</v>
      </c>
      <c r="N1" s="3" t="s">
        <v>9</v>
      </c>
      <c r="O1">
        <v>50</v>
      </c>
      <c r="P1" t="s">
        <v>10</v>
      </c>
      <c r="Q1">
        <v>0.4</v>
      </c>
      <c r="R1" t="s">
        <v>11</v>
      </c>
    </row>
    <row r="2" spans="1:23">
      <c r="A2" s="3" t="s">
        <v>12</v>
      </c>
      <c r="B2">
        <v>22.5</v>
      </c>
      <c r="C2" t="s">
        <v>13</v>
      </c>
      <c r="D2" t="s">
        <v>14</v>
      </c>
      <c r="E2" s="3" t="s">
        <v>7</v>
      </c>
      <c r="F2">
        <v>90</v>
      </c>
      <c r="G2">
        <v>-4</v>
      </c>
      <c r="H2" t="s">
        <v>11</v>
      </c>
      <c r="N2" s="3" t="s">
        <v>15</v>
      </c>
      <c r="O2">
        <v>250</v>
      </c>
      <c r="P2" t="s">
        <v>16</v>
      </c>
      <c r="Q2">
        <v>2.5</v>
      </c>
      <c r="R2" t="s">
        <v>17</v>
      </c>
      <c r="S2" s="3" t="s">
        <v>7</v>
      </c>
      <c r="T2" t="s">
        <v>18</v>
      </c>
      <c r="U2">
        <v>-2.5</v>
      </c>
      <c r="V2" t="s">
        <v>10</v>
      </c>
      <c r="W2">
        <v>100</v>
      </c>
    </row>
    <row r="4" spans="1:23">
      <c r="A4" s="4" t="s">
        <v>19</v>
      </c>
      <c r="B4" s="4" t="s">
        <v>20</v>
      </c>
      <c r="C4" s="4" t="s">
        <v>21</v>
      </c>
      <c r="N4" s="4" t="s">
        <v>19</v>
      </c>
      <c r="O4" s="4" t="s">
        <v>20</v>
      </c>
      <c r="P4" s="4" t="s">
        <v>21</v>
      </c>
    </row>
    <row r="5" spans="1:23">
      <c r="A5">
        <v>0</v>
      </c>
      <c r="B5">
        <f>$F$2 + ($G$2 * A5)</f>
        <v>90</v>
      </c>
      <c r="C5">
        <f>$B$1 * A5^2 +$D$1</f>
        <v>10</v>
      </c>
      <c r="N5">
        <v>0</v>
      </c>
      <c r="O5">
        <f>N5/$U$2 +$W$2</f>
        <v>100</v>
      </c>
      <c r="P5">
        <f>$O$1 + ($Q$1 * N5)</f>
        <v>50</v>
      </c>
    </row>
    <row r="6" spans="1:23">
      <c r="A6">
        <f>$A5+1</f>
        <v>1</v>
      </c>
      <c r="B6">
        <f t="shared" ref="B6:B30" si="0">$F$2 + ($G$2 * A6)</f>
        <v>86</v>
      </c>
      <c r="C6">
        <f t="shared" ref="C6:C27" si="1">$B$1 * A6^2 +$D$1</f>
        <v>10.01</v>
      </c>
      <c r="N6">
        <f>N5+1</f>
        <v>1</v>
      </c>
      <c r="O6">
        <f t="shared" ref="O6:O45" si="2">N6/$U$2 +$W$2</f>
        <v>99.6</v>
      </c>
      <c r="P6">
        <f t="shared" ref="P6:P45" si="3">$O$1 + ($Q$1 * N6)</f>
        <v>50.4</v>
      </c>
    </row>
    <row r="7" spans="1:23">
      <c r="A7">
        <f t="shared" ref="A7:A30" si="4">$A6+1</f>
        <v>2</v>
      </c>
      <c r="B7">
        <f t="shared" si="0"/>
        <v>82</v>
      </c>
      <c r="C7">
        <f t="shared" si="1"/>
        <v>10.039999999999999</v>
      </c>
      <c r="N7">
        <f t="shared" ref="N7:N24" si="5">N6+1</f>
        <v>2</v>
      </c>
      <c r="O7">
        <f t="shared" si="2"/>
        <v>99.2</v>
      </c>
      <c r="P7">
        <f t="shared" si="3"/>
        <v>50.8</v>
      </c>
    </row>
    <row r="8" spans="1:23">
      <c r="A8">
        <f t="shared" si="4"/>
        <v>3</v>
      </c>
      <c r="B8">
        <f t="shared" si="0"/>
        <v>78</v>
      </c>
      <c r="C8">
        <f t="shared" si="1"/>
        <v>10.09</v>
      </c>
      <c r="N8">
        <f t="shared" si="5"/>
        <v>3</v>
      </c>
      <c r="O8">
        <f t="shared" si="2"/>
        <v>98.8</v>
      </c>
      <c r="P8">
        <f t="shared" si="3"/>
        <v>51.2</v>
      </c>
    </row>
    <row r="9" spans="1:23">
      <c r="A9">
        <f t="shared" si="4"/>
        <v>4</v>
      </c>
      <c r="B9">
        <f t="shared" si="0"/>
        <v>74</v>
      </c>
      <c r="C9">
        <f t="shared" si="1"/>
        <v>10.16</v>
      </c>
      <c r="N9">
        <f t="shared" si="5"/>
        <v>4</v>
      </c>
      <c r="O9">
        <f t="shared" si="2"/>
        <v>98.4</v>
      </c>
      <c r="P9">
        <f t="shared" si="3"/>
        <v>51.6</v>
      </c>
    </row>
    <row r="10" spans="1:23">
      <c r="A10">
        <f t="shared" si="4"/>
        <v>5</v>
      </c>
      <c r="B10">
        <f t="shared" si="0"/>
        <v>70</v>
      </c>
      <c r="C10">
        <f t="shared" si="1"/>
        <v>10.25</v>
      </c>
      <c r="N10">
        <f t="shared" si="5"/>
        <v>5</v>
      </c>
      <c r="O10">
        <f t="shared" si="2"/>
        <v>98</v>
      </c>
      <c r="P10">
        <f t="shared" si="3"/>
        <v>52</v>
      </c>
    </row>
    <row r="11" spans="1:23">
      <c r="A11">
        <f t="shared" si="4"/>
        <v>6</v>
      </c>
      <c r="B11">
        <f t="shared" si="0"/>
        <v>66</v>
      </c>
      <c r="C11">
        <f t="shared" si="1"/>
        <v>10.36</v>
      </c>
      <c r="N11">
        <f t="shared" si="5"/>
        <v>6</v>
      </c>
      <c r="O11">
        <f t="shared" si="2"/>
        <v>97.6</v>
      </c>
      <c r="P11">
        <f t="shared" si="3"/>
        <v>52.4</v>
      </c>
    </row>
    <row r="12" spans="1:23">
      <c r="A12">
        <f t="shared" si="4"/>
        <v>7</v>
      </c>
      <c r="B12">
        <f t="shared" si="0"/>
        <v>62</v>
      </c>
      <c r="C12">
        <f t="shared" si="1"/>
        <v>10.49</v>
      </c>
      <c r="N12">
        <f t="shared" si="5"/>
        <v>7</v>
      </c>
      <c r="O12">
        <f t="shared" si="2"/>
        <v>97.2</v>
      </c>
      <c r="P12">
        <f t="shared" si="3"/>
        <v>52.8</v>
      </c>
    </row>
    <row r="13" spans="1:23">
      <c r="A13">
        <f t="shared" si="4"/>
        <v>8</v>
      </c>
      <c r="B13">
        <f t="shared" si="0"/>
        <v>58</v>
      </c>
      <c r="C13">
        <f t="shared" si="1"/>
        <v>10.64</v>
      </c>
      <c r="N13">
        <f t="shared" si="5"/>
        <v>8</v>
      </c>
      <c r="O13">
        <f t="shared" si="2"/>
        <v>96.8</v>
      </c>
      <c r="P13">
        <f t="shared" si="3"/>
        <v>53.2</v>
      </c>
    </row>
    <row r="14" spans="1:23">
      <c r="A14">
        <f t="shared" si="4"/>
        <v>9</v>
      </c>
      <c r="B14">
        <f t="shared" si="0"/>
        <v>54</v>
      </c>
      <c r="C14">
        <f t="shared" si="1"/>
        <v>10.81</v>
      </c>
      <c r="N14">
        <f t="shared" si="5"/>
        <v>9</v>
      </c>
      <c r="O14">
        <f t="shared" si="2"/>
        <v>96.4</v>
      </c>
      <c r="P14">
        <f t="shared" si="3"/>
        <v>53.6</v>
      </c>
    </row>
    <row r="15" spans="1:23">
      <c r="A15">
        <f t="shared" si="4"/>
        <v>10</v>
      </c>
      <c r="B15">
        <f t="shared" si="0"/>
        <v>50</v>
      </c>
      <c r="C15">
        <f t="shared" si="1"/>
        <v>11</v>
      </c>
      <c r="N15">
        <f t="shared" si="5"/>
        <v>10</v>
      </c>
      <c r="O15">
        <f t="shared" si="2"/>
        <v>96</v>
      </c>
      <c r="P15">
        <f t="shared" si="3"/>
        <v>54</v>
      </c>
    </row>
    <row r="16" spans="1:23">
      <c r="A16">
        <f t="shared" si="4"/>
        <v>11</v>
      </c>
      <c r="B16">
        <f t="shared" si="0"/>
        <v>46</v>
      </c>
      <c r="C16">
        <f t="shared" si="1"/>
        <v>11.21</v>
      </c>
      <c r="N16">
        <f t="shared" si="5"/>
        <v>11</v>
      </c>
      <c r="O16">
        <f t="shared" si="2"/>
        <v>95.6</v>
      </c>
      <c r="P16">
        <f t="shared" si="3"/>
        <v>54.4</v>
      </c>
    </row>
    <row r="17" spans="1:16">
      <c r="A17">
        <f t="shared" si="4"/>
        <v>12</v>
      </c>
      <c r="B17">
        <f t="shared" si="0"/>
        <v>42</v>
      </c>
      <c r="C17">
        <f t="shared" si="1"/>
        <v>11.44</v>
      </c>
      <c r="N17">
        <f t="shared" si="5"/>
        <v>12</v>
      </c>
      <c r="O17">
        <f t="shared" si="2"/>
        <v>95.2</v>
      </c>
      <c r="P17">
        <f t="shared" si="3"/>
        <v>54.8</v>
      </c>
    </row>
    <row r="18" spans="1:16">
      <c r="A18">
        <f t="shared" si="4"/>
        <v>13</v>
      </c>
      <c r="B18">
        <f t="shared" si="0"/>
        <v>38</v>
      </c>
      <c r="C18">
        <f t="shared" si="1"/>
        <v>11.69</v>
      </c>
      <c r="N18">
        <f t="shared" si="5"/>
        <v>13</v>
      </c>
      <c r="O18">
        <f t="shared" si="2"/>
        <v>94.8</v>
      </c>
      <c r="P18">
        <f t="shared" si="3"/>
        <v>55.2</v>
      </c>
    </row>
    <row r="19" spans="1:16">
      <c r="A19">
        <f t="shared" si="4"/>
        <v>14</v>
      </c>
      <c r="B19">
        <f t="shared" si="0"/>
        <v>34</v>
      </c>
      <c r="C19">
        <f t="shared" si="1"/>
        <v>11.96</v>
      </c>
      <c r="N19">
        <f t="shared" si="5"/>
        <v>14</v>
      </c>
      <c r="O19">
        <f t="shared" si="2"/>
        <v>94.4</v>
      </c>
      <c r="P19">
        <f t="shared" si="3"/>
        <v>55.6</v>
      </c>
    </row>
    <row r="20" spans="1:16">
      <c r="A20">
        <f t="shared" si="4"/>
        <v>15</v>
      </c>
      <c r="B20">
        <f t="shared" si="0"/>
        <v>30</v>
      </c>
      <c r="C20">
        <f t="shared" si="1"/>
        <v>12.25</v>
      </c>
      <c r="N20">
        <f t="shared" si="5"/>
        <v>15</v>
      </c>
      <c r="O20">
        <f>N20/$U$2 +$W$2</f>
        <v>94</v>
      </c>
      <c r="P20">
        <f t="shared" si="3"/>
        <v>56</v>
      </c>
    </row>
    <row r="21" spans="1:16">
      <c r="A21">
        <f>$A20+1</f>
        <v>16</v>
      </c>
      <c r="B21">
        <f t="shared" si="0"/>
        <v>26</v>
      </c>
      <c r="C21">
        <f t="shared" si="1"/>
        <v>12.56</v>
      </c>
      <c r="N21">
        <f t="shared" si="5"/>
        <v>16</v>
      </c>
      <c r="O21">
        <f t="shared" si="2"/>
        <v>93.6</v>
      </c>
      <c r="P21">
        <f t="shared" si="3"/>
        <v>56.4</v>
      </c>
    </row>
    <row r="22" spans="1:16">
      <c r="A22">
        <f t="shared" si="4"/>
        <v>17</v>
      </c>
      <c r="B22">
        <f t="shared" si="0"/>
        <v>22</v>
      </c>
      <c r="C22">
        <f t="shared" si="1"/>
        <v>12.89</v>
      </c>
      <c r="N22">
        <f t="shared" si="5"/>
        <v>17</v>
      </c>
      <c r="O22">
        <f t="shared" si="2"/>
        <v>93.2</v>
      </c>
      <c r="P22">
        <f t="shared" si="3"/>
        <v>56.8</v>
      </c>
    </row>
    <row r="23" spans="1:16">
      <c r="A23">
        <f t="shared" si="4"/>
        <v>18</v>
      </c>
      <c r="B23">
        <f t="shared" si="0"/>
        <v>18</v>
      </c>
      <c r="C23">
        <f t="shared" si="1"/>
        <v>13.24</v>
      </c>
      <c r="N23">
        <f t="shared" si="5"/>
        <v>18</v>
      </c>
      <c r="O23">
        <f t="shared" si="2"/>
        <v>92.8</v>
      </c>
      <c r="P23">
        <f t="shared" si="3"/>
        <v>57.2</v>
      </c>
    </row>
    <row r="24" spans="1:16">
      <c r="A24">
        <f t="shared" si="4"/>
        <v>19</v>
      </c>
      <c r="B24">
        <f t="shared" si="0"/>
        <v>14</v>
      </c>
      <c r="C24">
        <f t="shared" si="1"/>
        <v>13.61</v>
      </c>
      <c r="N24">
        <f t="shared" si="5"/>
        <v>19</v>
      </c>
      <c r="O24">
        <f t="shared" si="2"/>
        <v>92.4</v>
      </c>
      <c r="P24">
        <f t="shared" si="3"/>
        <v>57.6</v>
      </c>
    </row>
    <row r="25" spans="1:16">
      <c r="A25">
        <f t="shared" si="4"/>
        <v>20</v>
      </c>
      <c r="B25">
        <f t="shared" si="0"/>
        <v>10</v>
      </c>
      <c r="C25">
        <f t="shared" si="1"/>
        <v>14</v>
      </c>
      <c r="N25">
        <f>N24+1</f>
        <v>20</v>
      </c>
      <c r="O25">
        <f t="shared" si="2"/>
        <v>92</v>
      </c>
      <c r="P25">
        <f t="shared" si="3"/>
        <v>58</v>
      </c>
    </row>
    <row r="26" spans="1:16">
      <c r="A26">
        <f>$A25+1</f>
        <v>21</v>
      </c>
      <c r="B26">
        <f t="shared" si="0"/>
        <v>6</v>
      </c>
      <c r="C26">
        <f t="shared" si="1"/>
        <v>14.41</v>
      </c>
      <c r="N26">
        <f t="shared" ref="N26:N45" si="6">N25+1</f>
        <v>21</v>
      </c>
      <c r="O26">
        <f t="shared" si="2"/>
        <v>91.6</v>
      </c>
      <c r="P26">
        <f t="shared" si="3"/>
        <v>58.4</v>
      </c>
    </row>
    <row r="27" spans="1:16">
      <c r="A27">
        <f t="shared" si="4"/>
        <v>22</v>
      </c>
      <c r="B27">
        <f t="shared" si="0"/>
        <v>2</v>
      </c>
      <c r="C27">
        <f t="shared" si="1"/>
        <v>14.84</v>
      </c>
      <c r="N27">
        <f t="shared" si="6"/>
        <v>22</v>
      </c>
      <c r="O27">
        <f t="shared" si="2"/>
        <v>91.2</v>
      </c>
      <c r="P27">
        <f t="shared" si="3"/>
        <v>58.8</v>
      </c>
    </row>
    <row r="28" spans="1:16">
      <c r="N28">
        <f t="shared" si="6"/>
        <v>23</v>
      </c>
      <c r="O28">
        <f t="shared" si="2"/>
        <v>90.8</v>
      </c>
      <c r="P28">
        <f t="shared" si="3"/>
        <v>59.2</v>
      </c>
    </row>
    <row r="29" spans="1:16">
      <c r="N29">
        <f t="shared" si="6"/>
        <v>24</v>
      </c>
      <c r="O29">
        <f t="shared" si="2"/>
        <v>90.4</v>
      </c>
      <c r="P29">
        <f t="shared" si="3"/>
        <v>59.6</v>
      </c>
    </row>
    <row r="30" spans="1:16">
      <c r="N30">
        <f t="shared" si="6"/>
        <v>25</v>
      </c>
      <c r="O30">
        <f t="shared" si="2"/>
        <v>90</v>
      </c>
      <c r="P30">
        <f t="shared" si="3"/>
        <v>60</v>
      </c>
    </row>
    <row r="31" spans="1:16">
      <c r="N31">
        <f t="shared" si="6"/>
        <v>26</v>
      </c>
      <c r="O31">
        <f t="shared" si="2"/>
        <v>89.6</v>
      </c>
      <c r="P31">
        <f t="shared" si="3"/>
        <v>60.4</v>
      </c>
    </row>
    <row r="32" spans="1:16">
      <c r="N32">
        <f t="shared" si="6"/>
        <v>27</v>
      </c>
      <c r="O32">
        <f t="shared" si="2"/>
        <v>89.2</v>
      </c>
      <c r="P32">
        <f t="shared" si="3"/>
        <v>60.8</v>
      </c>
    </row>
    <row r="33" spans="14:16">
      <c r="N33">
        <f t="shared" si="6"/>
        <v>28</v>
      </c>
      <c r="O33">
        <f t="shared" si="2"/>
        <v>88.8</v>
      </c>
      <c r="P33">
        <f t="shared" si="3"/>
        <v>61.2</v>
      </c>
    </row>
    <row r="34" spans="14:16">
      <c r="N34">
        <f>N33+1</f>
        <v>29</v>
      </c>
      <c r="O34">
        <f t="shared" si="2"/>
        <v>88.4</v>
      </c>
      <c r="P34">
        <f t="shared" si="3"/>
        <v>61.6</v>
      </c>
    </row>
    <row r="35" spans="14:16">
      <c r="N35">
        <f t="shared" si="6"/>
        <v>30</v>
      </c>
      <c r="O35">
        <f t="shared" si="2"/>
        <v>88</v>
      </c>
      <c r="P35">
        <f t="shared" si="3"/>
        <v>62</v>
      </c>
    </row>
    <row r="36" spans="14:16">
      <c r="N36">
        <f t="shared" si="6"/>
        <v>31</v>
      </c>
      <c r="O36">
        <f t="shared" si="2"/>
        <v>87.6</v>
      </c>
      <c r="P36">
        <f t="shared" si="3"/>
        <v>62.4</v>
      </c>
    </row>
    <row r="37" spans="14:16">
      <c r="N37">
        <f t="shared" si="6"/>
        <v>32</v>
      </c>
      <c r="O37">
        <f t="shared" si="2"/>
        <v>87.2</v>
      </c>
      <c r="P37">
        <f t="shared" si="3"/>
        <v>62.8</v>
      </c>
    </row>
    <row r="38" spans="14:16">
      <c r="N38">
        <f t="shared" si="6"/>
        <v>33</v>
      </c>
      <c r="O38">
        <f t="shared" si="2"/>
        <v>86.8</v>
      </c>
      <c r="P38">
        <f t="shared" si="3"/>
        <v>63.2</v>
      </c>
    </row>
    <row r="39" spans="14:16">
      <c r="N39">
        <f t="shared" si="6"/>
        <v>34</v>
      </c>
      <c r="O39">
        <f t="shared" si="2"/>
        <v>86.4</v>
      </c>
      <c r="P39">
        <f t="shared" si="3"/>
        <v>63.6</v>
      </c>
    </row>
    <row r="40" spans="14:16">
      <c r="N40">
        <f t="shared" si="6"/>
        <v>35</v>
      </c>
      <c r="O40">
        <f t="shared" si="2"/>
        <v>86</v>
      </c>
      <c r="P40">
        <f t="shared" si="3"/>
        <v>64</v>
      </c>
    </row>
    <row r="41" spans="14:16">
      <c r="N41">
        <f t="shared" si="6"/>
        <v>36</v>
      </c>
      <c r="O41">
        <f t="shared" si="2"/>
        <v>85.6</v>
      </c>
      <c r="P41">
        <f t="shared" si="3"/>
        <v>64.400000000000006</v>
      </c>
    </row>
    <row r="42" spans="14:16">
      <c r="N42">
        <f t="shared" si="6"/>
        <v>37</v>
      </c>
      <c r="O42">
        <f t="shared" si="2"/>
        <v>85.2</v>
      </c>
      <c r="P42">
        <f>$O$1 + ($Q$1 * N42)</f>
        <v>64.8</v>
      </c>
    </row>
    <row r="43" spans="14:16">
      <c r="N43">
        <f t="shared" si="6"/>
        <v>38</v>
      </c>
      <c r="O43">
        <f t="shared" si="2"/>
        <v>84.8</v>
      </c>
      <c r="P43">
        <f t="shared" si="3"/>
        <v>65.2</v>
      </c>
    </row>
    <row r="44" spans="14:16">
      <c r="N44">
        <f t="shared" si="6"/>
        <v>39</v>
      </c>
      <c r="O44">
        <f t="shared" si="2"/>
        <v>84.4</v>
      </c>
      <c r="P44">
        <f t="shared" si="3"/>
        <v>65.599999999999994</v>
      </c>
    </row>
    <row r="45" spans="14:16">
      <c r="N45">
        <f t="shared" si="6"/>
        <v>40</v>
      </c>
      <c r="O45">
        <f t="shared" si="2"/>
        <v>84</v>
      </c>
      <c r="P45">
        <f t="shared" si="3"/>
        <v>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062F-79A0-47BB-A05C-6ACF65B39AD8}">
  <dimension ref="A1:C8"/>
  <sheetViews>
    <sheetView workbookViewId="0">
      <selection activeCell="T8" sqref="T8"/>
    </sheetView>
  </sheetViews>
  <sheetFormatPr defaultRowHeight="15"/>
  <cols>
    <col min="2" max="2" width="10.85546875" customWidth="1"/>
  </cols>
  <sheetData>
    <row r="1" spans="1:3">
      <c r="A1" s="2" t="s">
        <v>22</v>
      </c>
      <c r="B1" s="2" t="s">
        <v>23</v>
      </c>
      <c r="C1" s="2" t="s">
        <v>24</v>
      </c>
    </row>
    <row r="2" spans="1:3">
      <c r="A2">
        <v>30000</v>
      </c>
      <c r="B2">
        <v>5000</v>
      </c>
      <c r="C2">
        <v>300</v>
      </c>
    </row>
    <row r="3" spans="1:3">
      <c r="A3">
        <v>20000</v>
      </c>
      <c r="B3">
        <v>8000</v>
      </c>
      <c r="C3">
        <v>320</v>
      </c>
    </row>
    <row r="4" spans="1:3">
      <c r="A4">
        <v>17000</v>
      </c>
      <c r="B4">
        <v>9000</v>
      </c>
      <c r="C4">
        <v>370</v>
      </c>
    </row>
    <row r="5" spans="1:3">
      <c r="A5">
        <v>12000</v>
      </c>
      <c r="B5">
        <v>10000</v>
      </c>
      <c r="C5">
        <v>400</v>
      </c>
    </row>
    <row r="6" spans="1:3">
      <c r="A6">
        <v>10000</v>
      </c>
      <c r="B6">
        <v>11000</v>
      </c>
      <c r="C6">
        <v>410</v>
      </c>
    </row>
    <row r="7" spans="1:3">
      <c r="A7">
        <v>8000</v>
      </c>
      <c r="B7">
        <v>12000</v>
      </c>
      <c r="C7">
        <v>420</v>
      </c>
    </row>
    <row r="8" spans="1:3">
      <c r="A8">
        <v>5000</v>
      </c>
      <c r="B8">
        <v>13000</v>
      </c>
      <c r="C8">
        <v>440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6739-6C68-415E-8A51-3A3D2FA970E2}">
  <dimension ref="A1:Q25"/>
  <sheetViews>
    <sheetView tabSelected="1" topLeftCell="F1" workbookViewId="0">
      <selection activeCell="Q4" sqref="Q4"/>
    </sheetView>
  </sheetViews>
  <sheetFormatPr defaultRowHeight="15"/>
  <sheetData>
    <row r="1" spans="1:17">
      <c r="A1" t="s">
        <v>25</v>
      </c>
      <c r="B1">
        <v>3</v>
      </c>
      <c r="C1" t="s">
        <v>11</v>
      </c>
      <c r="M1" t="s">
        <v>26</v>
      </c>
      <c r="N1">
        <v>4</v>
      </c>
      <c r="O1" t="s">
        <v>11</v>
      </c>
    </row>
    <row r="2" spans="1:17">
      <c r="A2" t="s">
        <v>27</v>
      </c>
      <c r="B2">
        <v>10</v>
      </c>
      <c r="C2" t="s">
        <v>10</v>
      </c>
      <c r="D2">
        <f>3/200</f>
        <v>1.4999999999999999E-2</v>
      </c>
      <c r="E2" t="s">
        <v>28</v>
      </c>
      <c r="M2" t="s">
        <v>29</v>
      </c>
      <c r="N2">
        <v>15</v>
      </c>
      <c r="O2" t="s">
        <v>10</v>
      </c>
      <c r="P2">
        <f>1/100</f>
        <v>0.01</v>
      </c>
      <c r="Q2" t="s">
        <v>30</v>
      </c>
    </row>
    <row r="4" spans="1:17">
      <c r="A4" s="2" t="s">
        <v>19</v>
      </c>
      <c r="B4" s="2" t="s">
        <v>31</v>
      </c>
      <c r="C4" s="2" t="s">
        <v>32</v>
      </c>
      <c r="M4" s="2" t="s">
        <v>19</v>
      </c>
      <c r="N4" s="2" t="s">
        <v>31</v>
      </c>
      <c r="O4" s="2" t="s">
        <v>32</v>
      </c>
    </row>
    <row r="5" spans="1:17">
      <c r="A5">
        <v>0</v>
      </c>
      <c r="B5">
        <f>$B$1*A5</f>
        <v>0</v>
      </c>
      <c r="C5" s="5">
        <f>$B$2+($D$2 * A5^(2/5))</f>
        <v>10</v>
      </c>
      <c r="M5">
        <v>0</v>
      </c>
      <c r="N5">
        <f>$N$1*M5</f>
        <v>0</v>
      </c>
      <c r="O5">
        <f>$N$2+($P$2*M5^3)</f>
        <v>15</v>
      </c>
    </row>
    <row r="6" spans="1:17">
      <c r="A6">
        <f>A5+1</f>
        <v>1</v>
      </c>
      <c r="B6">
        <f t="shared" ref="B6:B25" si="0">$B$1*A6</f>
        <v>3</v>
      </c>
      <c r="C6" s="5">
        <f t="shared" ref="C6:C25" si="1">$B$2+($D$2 * A6^(2/5))</f>
        <v>10.015000000000001</v>
      </c>
      <c r="M6">
        <f>M5+1</f>
        <v>1</v>
      </c>
      <c r="N6">
        <f t="shared" ref="N6:N25" si="2">$N$1*M6</f>
        <v>4</v>
      </c>
      <c r="O6">
        <f t="shared" ref="O6:O25" si="3">$N$2+($P$2*M6^3)</f>
        <v>15.01</v>
      </c>
    </row>
    <row r="7" spans="1:17">
      <c r="A7">
        <f t="shared" ref="A7:A24" si="4">A6+1</f>
        <v>2</v>
      </c>
      <c r="B7">
        <f t="shared" si="0"/>
        <v>6</v>
      </c>
      <c r="C7" s="5">
        <f t="shared" si="1"/>
        <v>10.019792618661594</v>
      </c>
      <c r="M7">
        <f t="shared" ref="M7:M25" si="5">M6+1</f>
        <v>2</v>
      </c>
      <c r="N7">
        <f t="shared" si="2"/>
        <v>8</v>
      </c>
      <c r="O7">
        <f t="shared" si="3"/>
        <v>15.08</v>
      </c>
    </row>
    <row r="8" spans="1:17">
      <c r="A8">
        <f t="shared" si="4"/>
        <v>3</v>
      </c>
      <c r="B8">
        <f t="shared" si="0"/>
        <v>9</v>
      </c>
      <c r="C8" s="5">
        <f t="shared" si="1"/>
        <v>10.023277683608731</v>
      </c>
      <c r="M8">
        <f t="shared" si="5"/>
        <v>3</v>
      </c>
      <c r="N8">
        <f t="shared" si="2"/>
        <v>12</v>
      </c>
      <c r="O8">
        <f t="shared" si="3"/>
        <v>15.27</v>
      </c>
    </row>
    <row r="9" spans="1:17">
      <c r="A9">
        <f t="shared" si="4"/>
        <v>4</v>
      </c>
      <c r="B9">
        <f t="shared" si="0"/>
        <v>12</v>
      </c>
      <c r="C9" s="5">
        <f t="shared" si="1"/>
        <v>10.026116516898885</v>
      </c>
      <c r="M9">
        <f t="shared" si="5"/>
        <v>4</v>
      </c>
      <c r="N9">
        <f t="shared" si="2"/>
        <v>16</v>
      </c>
      <c r="O9">
        <f t="shared" si="3"/>
        <v>15.64</v>
      </c>
    </row>
    <row r="10" spans="1:17">
      <c r="A10">
        <f t="shared" si="4"/>
        <v>5</v>
      </c>
      <c r="B10">
        <f t="shared" si="0"/>
        <v>15</v>
      </c>
      <c r="C10" s="5">
        <f t="shared" si="1"/>
        <v>10.028554809080738</v>
      </c>
      <c r="M10">
        <f t="shared" si="5"/>
        <v>5</v>
      </c>
      <c r="N10">
        <f t="shared" si="2"/>
        <v>20</v>
      </c>
      <c r="O10">
        <f t="shared" si="3"/>
        <v>16.25</v>
      </c>
    </row>
    <row r="11" spans="1:17">
      <c r="A11">
        <f t="shared" si="4"/>
        <v>6</v>
      </c>
      <c r="B11">
        <f t="shared" si="0"/>
        <v>18</v>
      </c>
      <c r="C11" s="5">
        <f t="shared" si="1"/>
        <v>10.030715087666188</v>
      </c>
      <c r="M11">
        <f t="shared" si="5"/>
        <v>6</v>
      </c>
      <c r="N11">
        <f t="shared" si="2"/>
        <v>24</v>
      </c>
      <c r="O11">
        <f t="shared" si="3"/>
        <v>17.16</v>
      </c>
    </row>
    <row r="12" spans="1:17">
      <c r="A12">
        <f t="shared" si="4"/>
        <v>7</v>
      </c>
      <c r="B12">
        <f t="shared" si="0"/>
        <v>21</v>
      </c>
      <c r="C12" s="5">
        <f t="shared" si="1"/>
        <v>10.032668596367241</v>
      </c>
      <c r="M12">
        <f t="shared" si="5"/>
        <v>7</v>
      </c>
      <c r="N12">
        <f t="shared" si="2"/>
        <v>28</v>
      </c>
      <c r="O12">
        <f t="shared" si="3"/>
        <v>18.43</v>
      </c>
    </row>
    <row r="13" spans="1:17">
      <c r="A13">
        <f t="shared" si="4"/>
        <v>8</v>
      </c>
      <c r="B13">
        <f t="shared" si="0"/>
        <v>24</v>
      </c>
      <c r="C13" s="5">
        <f t="shared" si="1"/>
        <v>10.034460950649912</v>
      </c>
      <c r="M13">
        <f t="shared" si="5"/>
        <v>8</v>
      </c>
      <c r="N13">
        <f t="shared" si="2"/>
        <v>32</v>
      </c>
      <c r="O13">
        <f t="shared" si="3"/>
        <v>20.12</v>
      </c>
    </row>
    <row r="14" spans="1:17">
      <c r="A14">
        <f t="shared" si="4"/>
        <v>9</v>
      </c>
      <c r="B14">
        <f t="shared" si="0"/>
        <v>27</v>
      </c>
      <c r="C14" s="5">
        <f t="shared" si="1"/>
        <v>10.03612337027921</v>
      </c>
      <c r="M14">
        <f t="shared" si="5"/>
        <v>9</v>
      </c>
      <c r="N14">
        <f t="shared" si="2"/>
        <v>36</v>
      </c>
      <c r="O14">
        <f t="shared" si="3"/>
        <v>22.29</v>
      </c>
    </row>
    <row r="15" spans="1:17">
      <c r="A15">
        <f t="shared" si="4"/>
        <v>10</v>
      </c>
      <c r="B15">
        <f t="shared" si="0"/>
        <v>30</v>
      </c>
      <c r="C15" s="5">
        <f t="shared" si="1"/>
        <v>10.037678296472643</v>
      </c>
      <c r="M15">
        <f t="shared" si="5"/>
        <v>10</v>
      </c>
      <c r="N15">
        <f t="shared" si="2"/>
        <v>40</v>
      </c>
      <c r="O15">
        <f t="shared" si="3"/>
        <v>25</v>
      </c>
    </row>
    <row r="16" spans="1:17">
      <c r="A16">
        <f t="shared" si="4"/>
        <v>11</v>
      </c>
      <c r="B16">
        <f t="shared" si="0"/>
        <v>33</v>
      </c>
      <c r="C16" s="5">
        <f t="shared" si="1"/>
        <v>10.039142479529183</v>
      </c>
      <c r="M16">
        <f t="shared" si="5"/>
        <v>11</v>
      </c>
      <c r="N16">
        <f t="shared" si="2"/>
        <v>44</v>
      </c>
      <c r="O16">
        <f t="shared" si="3"/>
        <v>28.310000000000002</v>
      </c>
    </row>
    <row r="17" spans="1:15">
      <c r="A17">
        <f t="shared" si="4"/>
        <v>12</v>
      </c>
      <c r="B17">
        <f t="shared" si="0"/>
        <v>36</v>
      </c>
      <c r="C17" s="5">
        <f t="shared" si="1"/>
        <v>10.040528801155618</v>
      </c>
      <c r="M17">
        <f t="shared" si="5"/>
        <v>12</v>
      </c>
      <c r="N17">
        <f t="shared" si="2"/>
        <v>48</v>
      </c>
      <c r="O17">
        <f t="shared" si="3"/>
        <v>32.28</v>
      </c>
    </row>
    <row r="18" spans="1:15">
      <c r="A18">
        <f t="shared" si="4"/>
        <v>13</v>
      </c>
      <c r="B18">
        <f t="shared" si="0"/>
        <v>39</v>
      </c>
      <c r="C18" s="5">
        <f t="shared" si="1"/>
        <v>10.041847411538336</v>
      </c>
      <c r="M18">
        <f t="shared" si="5"/>
        <v>13</v>
      </c>
      <c r="N18">
        <f t="shared" si="2"/>
        <v>52</v>
      </c>
      <c r="O18">
        <f t="shared" si="3"/>
        <v>36.97</v>
      </c>
    </row>
    <row r="19" spans="1:15">
      <c r="A19">
        <f t="shared" si="4"/>
        <v>14</v>
      </c>
      <c r="B19">
        <f t="shared" si="0"/>
        <v>42</v>
      </c>
      <c r="C19" s="5">
        <f t="shared" si="1"/>
        <v>10.043106471340423</v>
      </c>
      <c r="M19">
        <f t="shared" si="5"/>
        <v>14</v>
      </c>
      <c r="N19">
        <f t="shared" si="2"/>
        <v>56</v>
      </c>
      <c r="O19">
        <f t="shared" si="3"/>
        <v>42.44</v>
      </c>
    </row>
    <row r="20" spans="1:15">
      <c r="A20">
        <f t="shared" si="4"/>
        <v>15</v>
      </c>
      <c r="B20">
        <f t="shared" si="0"/>
        <v>45</v>
      </c>
      <c r="C20" s="5">
        <f t="shared" si="1"/>
        <v>10.044312654085942</v>
      </c>
      <c r="M20">
        <f t="shared" si="5"/>
        <v>15</v>
      </c>
      <c r="N20">
        <f t="shared" si="2"/>
        <v>60</v>
      </c>
      <c r="O20">
        <f t="shared" si="3"/>
        <v>48.75</v>
      </c>
    </row>
    <row r="21" spans="1:15">
      <c r="A21">
        <f t="shared" si="4"/>
        <v>16</v>
      </c>
      <c r="B21">
        <f t="shared" si="0"/>
        <v>48</v>
      </c>
      <c r="C21" s="5">
        <f t="shared" si="1"/>
        <v>10.045471496995312</v>
      </c>
      <c r="M21">
        <f t="shared" si="5"/>
        <v>16</v>
      </c>
      <c r="N21">
        <f t="shared" si="2"/>
        <v>64</v>
      </c>
      <c r="O21">
        <f t="shared" si="3"/>
        <v>55.96</v>
      </c>
    </row>
    <row r="22" spans="1:15">
      <c r="A22">
        <f t="shared" si="4"/>
        <v>17</v>
      </c>
      <c r="B22">
        <f t="shared" si="0"/>
        <v>51</v>
      </c>
      <c r="C22" s="5">
        <f t="shared" si="1"/>
        <v>10.046587652523966</v>
      </c>
      <c r="M22">
        <f t="shared" si="5"/>
        <v>17</v>
      </c>
      <c r="N22">
        <f t="shared" si="2"/>
        <v>68</v>
      </c>
      <c r="O22">
        <f>$N$2+($P$2*M22^3)</f>
        <v>64.13</v>
      </c>
    </row>
    <row r="23" spans="1:15">
      <c r="A23">
        <f t="shared" si="4"/>
        <v>18</v>
      </c>
      <c r="B23">
        <f t="shared" si="0"/>
        <v>54</v>
      </c>
      <c r="C23" s="5">
        <f t="shared" si="1"/>
        <v>10.047665072847197</v>
      </c>
      <c r="M23">
        <f t="shared" si="5"/>
        <v>18</v>
      </c>
      <c r="N23">
        <f t="shared" si="2"/>
        <v>72</v>
      </c>
      <c r="O23">
        <f t="shared" si="3"/>
        <v>73.319999999999993</v>
      </c>
    </row>
    <row r="24" spans="1:15">
      <c r="A24">
        <f t="shared" si="4"/>
        <v>19</v>
      </c>
      <c r="B24">
        <f t="shared" si="0"/>
        <v>57</v>
      </c>
      <c r="C24" s="5">
        <f t="shared" si="1"/>
        <v>10.048707147867034</v>
      </c>
      <c r="M24">
        <f t="shared" si="5"/>
        <v>19</v>
      </c>
      <c r="N24">
        <f t="shared" si="2"/>
        <v>76</v>
      </c>
      <c r="O24">
        <f t="shared" si="3"/>
        <v>83.59</v>
      </c>
    </row>
    <row r="25" spans="1:15">
      <c r="A25">
        <f>A24+1</f>
        <v>20</v>
      </c>
      <c r="B25">
        <f t="shared" si="0"/>
        <v>60</v>
      </c>
      <c r="C25" s="5">
        <f t="shared" si="1"/>
        <v>10.049716810260099</v>
      </c>
      <c r="M25">
        <f t="shared" si="5"/>
        <v>20</v>
      </c>
      <c r="N25">
        <f t="shared" si="2"/>
        <v>80</v>
      </c>
      <c r="O25">
        <f t="shared" si="3"/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2026-10-12T16:40:52Z</dcterms:created>
  <dcterms:modified xsi:type="dcterms:W3CDTF">2026-10-12T19:05:31Z</dcterms:modified>
  <cp:category/>
  <cp:contentStatus/>
</cp:coreProperties>
</file>