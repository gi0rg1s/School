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OLLONI1\Desktop\School\gpoi\excel\"/>
    </mc:Choice>
  </mc:AlternateContent>
  <xr:revisionPtr revIDLastSave="0" documentId="13_ncr:1_{CA21D220-BD11-4F84-A0FB-6288A6C64B95}" xr6:coauthVersionLast="36" xr6:coauthVersionMax="36" xr10:uidLastSave="{00000000-0000-0000-0000-000000000000}"/>
  <bookViews>
    <workbookView xWindow="0" yWindow="0" windowWidth="17256" windowHeight="6636" xr2:uid="{87BE4C11-8AFB-4F64-9463-DB8005897443}"/>
  </bookViews>
  <sheets>
    <sheet name="45p4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F4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6" i="1"/>
  <c r="E21" i="1"/>
  <c r="G21" i="1" s="1"/>
  <c r="E45" i="1"/>
  <c r="G45" i="1" s="1"/>
  <c r="E6" i="1"/>
  <c r="G6" i="1" s="1"/>
  <c r="D46" i="1"/>
  <c r="D8" i="1"/>
  <c r="D45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D7" i="1"/>
  <c r="D6" i="1"/>
  <c r="B37" i="1"/>
  <c r="B38" i="1"/>
  <c r="E37" i="1" s="1"/>
  <c r="G37" i="1" s="1"/>
  <c r="B39" i="1"/>
  <c r="E38" i="1" s="1"/>
  <c r="G38" i="1" s="1"/>
  <c r="B40" i="1"/>
  <c r="E39" i="1" s="1"/>
  <c r="G39" i="1" s="1"/>
  <c r="B41" i="1"/>
  <c r="E40" i="1" s="1"/>
  <c r="G40" i="1" s="1"/>
  <c r="B42" i="1"/>
  <c r="E41" i="1" s="1"/>
  <c r="G41" i="1" s="1"/>
  <c r="B43" i="1"/>
  <c r="D43" i="1" s="1"/>
  <c r="B44" i="1"/>
  <c r="D44" i="1" s="1"/>
  <c r="B45" i="1"/>
  <c r="B46" i="1"/>
  <c r="E46" i="1" s="1"/>
  <c r="G46" i="1" s="1"/>
  <c r="A45" i="1"/>
  <c r="A46" i="1" s="1"/>
  <c r="A43" i="1"/>
  <c r="A44" i="1"/>
  <c r="A37" i="1"/>
  <c r="A38" i="1"/>
  <c r="A39" i="1"/>
  <c r="A40" i="1" s="1"/>
  <c r="A41" i="1" s="1"/>
  <c r="A42" i="1" s="1"/>
  <c r="B31" i="1"/>
  <c r="D31" i="1" s="1"/>
  <c r="B32" i="1"/>
  <c r="E31" i="1" s="1"/>
  <c r="G31" i="1" s="1"/>
  <c r="B33" i="1"/>
  <c r="E32" i="1" s="1"/>
  <c r="G32" i="1" s="1"/>
  <c r="B34" i="1"/>
  <c r="E33" i="1" s="1"/>
  <c r="G33" i="1" s="1"/>
  <c r="B35" i="1"/>
  <c r="D35" i="1" s="1"/>
  <c r="B36" i="1"/>
  <c r="D36" i="1" s="1"/>
  <c r="B7" i="1"/>
  <c r="B8" i="1"/>
  <c r="E7" i="1" s="1"/>
  <c r="G7" i="1" s="1"/>
  <c r="B9" i="1"/>
  <c r="E8" i="1" s="1"/>
  <c r="G8" i="1" s="1"/>
  <c r="B10" i="1"/>
  <c r="E9" i="1" s="1"/>
  <c r="G9" i="1" s="1"/>
  <c r="B11" i="1"/>
  <c r="E10" i="1" s="1"/>
  <c r="G10" i="1" s="1"/>
  <c r="B12" i="1"/>
  <c r="E11" i="1" s="1"/>
  <c r="G11" i="1" s="1"/>
  <c r="B13" i="1"/>
  <c r="E12" i="1" s="1"/>
  <c r="G12" i="1" s="1"/>
  <c r="B14" i="1"/>
  <c r="E13" i="1" s="1"/>
  <c r="G13" i="1" s="1"/>
  <c r="B15" i="1"/>
  <c r="B16" i="1"/>
  <c r="E15" i="1" s="1"/>
  <c r="G15" i="1" s="1"/>
  <c r="B17" i="1"/>
  <c r="E16" i="1" s="1"/>
  <c r="G16" i="1" s="1"/>
  <c r="B18" i="1"/>
  <c r="B19" i="1"/>
  <c r="D19" i="1" s="1"/>
  <c r="B20" i="1"/>
  <c r="E19" i="1" s="1"/>
  <c r="G19" i="1" s="1"/>
  <c r="B21" i="1"/>
  <c r="D21" i="1" s="1"/>
  <c r="B22" i="1"/>
  <c r="D22" i="1" s="1"/>
  <c r="B23" i="1"/>
  <c r="E22" i="1" s="1"/>
  <c r="G22" i="1" s="1"/>
  <c r="B24" i="1"/>
  <c r="E23" i="1" s="1"/>
  <c r="G23" i="1" s="1"/>
  <c r="B25" i="1"/>
  <c r="E24" i="1" s="1"/>
  <c r="G24" i="1" s="1"/>
  <c r="B26" i="1"/>
  <c r="E25" i="1" s="1"/>
  <c r="G25" i="1" s="1"/>
  <c r="B27" i="1"/>
  <c r="E26" i="1" s="1"/>
  <c r="G26" i="1" s="1"/>
  <c r="B28" i="1"/>
  <c r="E27" i="1" s="1"/>
  <c r="G27" i="1" s="1"/>
  <c r="B29" i="1"/>
  <c r="E28" i="1" s="1"/>
  <c r="G28" i="1" s="1"/>
  <c r="B30" i="1"/>
  <c r="E29" i="1" s="1"/>
  <c r="G29" i="1" s="1"/>
  <c r="A31" i="1"/>
  <c r="A32" i="1"/>
  <c r="A33" i="1"/>
  <c r="A34" i="1"/>
  <c r="A35" i="1"/>
  <c r="A36" i="1"/>
  <c r="C7" i="1"/>
  <c r="C6" i="1"/>
  <c r="B6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7" i="1"/>
  <c r="F1" i="1"/>
  <c r="D1" i="1"/>
  <c r="E18" i="1" l="1"/>
  <c r="G18" i="1" s="1"/>
  <c r="D20" i="1"/>
  <c r="E44" i="1"/>
  <c r="G44" i="1" s="1"/>
  <c r="E14" i="1"/>
  <c r="G14" i="1" s="1"/>
  <c r="E36" i="1"/>
  <c r="G36" i="1" s="1"/>
  <c r="E43" i="1"/>
  <c r="G43" i="1" s="1"/>
  <c r="E35" i="1"/>
  <c r="G35" i="1" s="1"/>
  <c r="E20" i="1"/>
  <c r="G20" i="1" s="1"/>
  <c r="E34" i="1"/>
  <c r="G34" i="1" s="1"/>
  <c r="D34" i="1"/>
  <c r="D33" i="1"/>
  <c r="D32" i="1"/>
  <c r="D18" i="1"/>
  <c r="E17" i="1"/>
  <c r="G17" i="1" s="1"/>
  <c r="D17" i="1"/>
  <c r="E30" i="1"/>
  <c r="G30" i="1" s="1"/>
  <c r="D30" i="1"/>
  <c r="D16" i="1"/>
  <c r="D29" i="1"/>
  <c r="D15" i="1"/>
  <c r="E42" i="1"/>
  <c r="G42" i="1" s="1"/>
  <c r="D42" i="1"/>
  <c r="D28" i="1"/>
  <c r="D14" i="1"/>
  <c r="D41" i="1"/>
  <c r="D27" i="1"/>
  <c r="D13" i="1"/>
  <c r="D40" i="1"/>
  <c r="D26" i="1"/>
  <c r="D12" i="1"/>
  <c r="D39" i="1"/>
  <c r="D25" i="1"/>
  <c r="D11" i="1"/>
  <c r="D38" i="1"/>
  <c r="D24" i="1"/>
  <c r="D10" i="1"/>
  <c r="D37" i="1"/>
  <c r="D23" i="1"/>
  <c r="D9" i="1"/>
  <c r="J22" i="1" l="1"/>
  <c r="J23" i="1" s="1"/>
</calcChain>
</file>

<file path=xl/sharedStrings.xml><?xml version="1.0" encoding="utf-8"?>
<sst xmlns="http://schemas.openxmlformats.org/spreadsheetml/2006/main" count="14" uniqueCount="14">
  <si>
    <t xml:space="preserve">C = </t>
  </si>
  <si>
    <t>+</t>
  </si>
  <si>
    <t>q</t>
  </si>
  <si>
    <t xml:space="preserve">R = </t>
  </si>
  <si>
    <t>q^</t>
  </si>
  <si>
    <t>P</t>
  </si>
  <si>
    <t>Pmax</t>
  </si>
  <si>
    <t>q*</t>
  </si>
  <si>
    <t>Ricavi</t>
  </si>
  <si>
    <t>Costi</t>
  </si>
  <si>
    <t>quantità</t>
  </si>
  <si>
    <t>Rm</t>
  </si>
  <si>
    <t>Cm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</si>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</sst>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EC8E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ont="1"/>
    <xf numFmtId="2" fontId="0" fillId="0" borderId="1" xfId="0" applyNumberFormat="1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2" fontId="0" fillId="0" borderId="2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5" xfId="0" applyNumberFormat="1" applyBorder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DEC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Ricavi e costi</a:t>
            </a:r>
          </a:p>
        </c:rich>
      </c:tx>
      <c:layout>
        <c:manualLayout>
          <c:xMode val="edge"/>
          <c:yMode val="edge"/>
          <c:x val="0.393965223097112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'45p42'!$B$5</c:f>
              <c:strCache>
                <c:ptCount val="1"/>
                <c:pt idx="0">
                  <c:v>Ricavi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'45p42'!$A$6:$A$46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'45p42'!$B$6:$B$46</c:f>
              <c:numCache>
                <c:formatCode>General</c:formatCode>
                <c:ptCount val="4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B3-4E5F-9161-6CAC91987BF0}"/>
            </c:ext>
          </c:extLst>
        </c:ser>
        <c:ser>
          <c:idx val="1"/>
          <c:order val="1"/>
          <c:tx>
            <c:strRef>
              <c:f>'45p42'!$C$5</c:f>
              <c:strCache>
                <c:ptCount val="1"/>
                <c:pt idx="0">
                  <c:v>Costi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'45p42'!$A$6:$A$46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'45p42'!$C$6:$C$46</c:f>
              <c:numCache>
                <c:formatCode>0.00</c:formatCode>
                <c:ptCount val="41"/>
                <c:pt idx="0" formatCode="General">
                  <c:v>10</c:v>
                </c:pt>
                <c:pt idx="1">
                  <c:v>10.015000000000001</c:v>
                </c:pt>
                <c:pt idx="2">
                  <c:v>10.084852813742385</c:v>
                </c:pt>
                <c:pt idx="3">
                  <c:v>10.233826859021798</c:v>
                </c:pt>
                <c:pt idx="4">
                  <c:v>10.48</c:v>
                </c:pt>
                <c:pt idx="5">
                  <c:v>10.838525491562422</c:v>
                </c:pt>
                <c:pt idx="6">
                  <c:v>11.322724461102915</c:v>
                </c:pt>
                <c:pt idx="7">
                  <c:v>11.944627213632472</c:v>
                </c:pt>
                <c:pt idx="8">
                  <c:v>12.715290039756342</c:v>
                </c:pt>
                <c:pt idx="9">
                  <c:v>13.645000000000003</c:v>
                </c:pt>
                <c:pt idx="10">
                  <c:v>14.743416490252574</c:v>
                </c:pt>
                <c:pt idx="11">
                  <c:v>16.019673994495051</c:v>
                </c:pt>
                <c:pt idx="12">
                  <c:v>17.48245948869755</c:v>
                </c:pt>
                <c:pt idx="13">
                  <c:v>19.140072483301211</c:v>
                </c:pt>
                <c:pt idx="14">
                  <c:v>21.000472717115386</c:v>
                </c:pt>
                <c:pt idx="15">
                  <c:v>23.071318793450033</c:v>
                </c:pt>
                <c:pt idx="16">
                  <c:v>25.36</c:v>
                </c:pt>
                <c:pt idx="17">
                  <c:v>27.873662887052554</c:v>
                </c:pt>
                <c:pt idx="18">
                  <c:v>30.619233739399725</c:v>
                </c:pt>
                <c:pt idx="19">
                  <c:v>33.603437779272738</c:v>
                </c:pt>
                <c:pt idx="20">
                  <c:v>36.832815729997463</c:v>
                </c:pt>
                <c:pt idx="21">
                  <c:v>40.313738222132876</c:v>
                </c:pt>
                <c:pt idx="22">
                  <c:v>44.052418416318112</c:v>
                </c:pt>
                <c:pt idx="23">
                  <c:v>48.054923137486426</c:v>
                </c:pt>
                <c:pt idx="24">
                  <c:v>52.327182755293322</c:v>
                </c:pt>
                <c:pt idx="25">
                  <c:v>56.874999999999986</c:v>
                </c:pt>
                <c:pt idx="26">
                  <c:v>61.704057867830834</c:v>
                </c:pt>
                <c:pt idx="27">
                  <c:v>66.819926742297028</c:v>
                </c:pt>
                <c:pt idx="28">
                  <c:v>72.228070836239169</c:v>
                </c:pt>
                <c:pt idx="29">
                  <c:v>77.933854042001741</c:v>
                </c:pt>
                <c:pt idx="30">
                  <c:v>83.942545263197459</c:v>
                </c:pt>
                <c:pt idx="31">
                  <c:v>90.259323290194729</c:v>
                </c:pt>
                <c:pt idx="32">
                  <c:v>96.889281272202979</c:v>
                </c:pt>
                <c:pt idx="33">
                  <c:v>103.83743083119876</c:v>
                </c:pt>
                <c:pt idx="34">
                  <c:v>111.10870585661759</c:v>
                </c:pt>
                <c:pt idx="35">
                  <c:v>118.70796601445537</c:v>
                </c:pt>
                <c:pt idx="36">
                  <c:v>126.63999999999992</c:v>
                </c:pt>
                <c:pt idx="37">
                  <c:v>134.9095285596739</c:v>
                </c:pt>
                <c:pt idx="38">
                  <c:v>143.52120730430801</c:v>
                </c:pt>
                <c:pt idx="39">
                  <c:v>152.47962933345946</c:v>
                </c:pt>
                <c:pt idx="40">
                  <c:v>161.78932768808215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B3-4E5F-9161-6CAC91987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691936"/>
        <c:axId val="1215705792"/>
      </c:scatterChart>
      <c:valAx>
        <c:axId val="1215691936"/>
        <c:scaling>
          <c:orientation val="minMax"/>
          <c:max val="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5705792"/>
        <c:crosses val="autoZero"/>
        <c:crossBetween val="midCat"/>
      </c:valAx>
      <c:valAx>
        <c:axId val="1215705792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5691936"/>
        <c:crosses val="autoZero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1"/>
                  </a:glow>
                </a:effectLst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3</xdr:row>
      <xdr:rowOff>7620</xdr:rowOff>
    </xdr:from>
    <xdr:to>
      <xdr:col>15</xdr:col>
      <xdr:colOff>594360</xdr:colOff>
      <xdr:row>17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2E19CAC-CFEF-4B4A-BDC6-4213330DF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825A-AA30-4B07-8728-3AF0AAB0376D}">
  <dimension ref="A1:J46"/>
  <sheetViews>
    <sheetView tabSelected="1" topLeftCell="A14" zoomScaleNormal="100" workbookViewId="0">
      <selection activeCell="J19" sqref="J19"/>
    </sheetView>
  </sheetViews>
  <sheetFormatPr defaultRowHeight="14.4" x14ac:dyDescent="0.3"/>
  <cols>
    <col min="8" max="9" width="8.88671875" customWidth="1"/>
  </cols>
  <sheetData>
    <row r="1" spans="1:7" x14ac:dyDescent="0.3">
      <c r="A1" t="s">
        <v>0</v>
      </c>
      <c r="B1" s="13">
        <v>10</v>
      </c>
      <c r="C1" t="s">
        <v>1</v>
      </c>
      <c r="D1" s="13">
        <f>3/200</f>
        <v>1.4999999999999999E-2</v>
      </c>
      <c r="E1" t="s">
        <v>4</v>
      </c>
      <c r="F1" s="13">
        <f>5/2</f>
        <v>2.5</v>
      </c>
    </row>
    <row r="2" spans="1:7" x14ac:dyDescent="0.3">
      <c r="A2" t="s">
        <v>3</v>
      </c>
      <c r="B2" s="13">
        <v>3</v>
      </c>
      <c r="C2" t="s">
        <v>2</v>
      </c>
      <c r="F2" s="3"/>
    </row>
    <row r="5" spans="1:7" x14ac:dyDescent="0.3">
      <c r="A5" s="2" t="s">
        <v>10</v>
      </c>
      <c r="B5" s="2" t="s">
        <v>8</v>
      </c>
      <c r="C5" s="2" t="s">
        <v>9</v>
      </c>
      <c r="D5" s="2" t="s">
        <v>5</v>
      </c>
      <c r="E5" s="2" t="s">
        <v>11</v>
      </c>
      <c r="F5" s="2" t="s">
        <v>12</v>
      </c>
      <c r="G5" s="2" t="s">
        <v>13</v>
      </c>
    </row>
    <row r="6" spans="1:7" x14ac:dyDescent="0.3">
      <c r="A6" s="6">
        <v>0</v>
      </c>
      <c r="B6" s="6">
        <f>$B$2*A6</f>
        <v>0</v>
      </c>
      <c r="C6" s="5">
        <f>$B$1 + ($D$1*(A6^$F$1))</f>
        <v>10</v>
      </c>
      <c r="D6" s="6">
        <f>B6-C6</f>
        <v>-10</v>
      </c>
      <c r="E6" s="7">
        <f>B7-B6</f>
        <v>3</v>
      </c>
      <c r="F6" s="9">
        <f>C7-C6</f>
        <v>1.5000000000000568E-2</v>
      </c>
      <c r="G6" s="9">
        <f>E6-F6</f>
        <v>2.9849999999999994</v>
      </c>
    </row>
    <row r="7" spans="1:7" x14ac:dyDescent="0.3">
      <c r="A7" s="7">
        <f>A6+1</f>
        <v>1</v>
      </c>
      <c r="B7" s="7">
        <f t="shared" ref="B7:B46" si="0">$B$2*A7</f>
        <v>3</v>
      </c>
      <c r="C7" s="11">
        <f t="shared" ref="C7:C46" si="1">$B$1 + ($D$1*(A7^$F$1))</f>
        <v>10.015000000000001</v>
      </c>
      <c r="D7" s="9">
        <f t="shared" ref="D7:D46" si="2">B7-C7</f>
        <v>-7.0150000000000006</v>
      </c>
      <c r="E7" s="7">
        <f t="shared" ref="E7:E46" si="3">B8-B7</f>
        <v>3</v>
      </c>
      <c r="F7" s="9">
        <f t="shared" ref="F7:F46" si="4">C8-C7</f>
        <v>6.9852813742384612E-2</v>
      </c>
      <c r="G7" s="9">
        <f t="shared" ref="G7:G46" si="5">E7-F7</f>
        <v>2.9301471862576154</v>
      </c>
    </row>
    <row r="8" spans="1:7" x14ac:dyDescent="0.3">
      <c r="A8" s="7">
        <f t="shared" ref="A8:A46" si="6">A7+1</f>
        <v>2</v>
      </c>
      <c r="B8" s="7">
        <f t="shared" si="0"/>
        <v>6</v>
      </c>
      <c r="C8" s="11">
        <f t="shared" si="1"/>
        <v>10.084852813742385</v>
      </c>
      <c r="D8" s="9">
        <f t="shared" si="2"/>
        <v>-4.0848528137423852</v>
      </c>
      <c r="E8" s="7">
        <f t="shared" si="3"/>
        <v>3</v>
      </c>
      <c r="F8" s="9">
        <f t="shared" si="4"/>
        <v>0.14897404527941305</v>
      </c>
      <c r="G8" s="9">
        <f t="shared" si="5"/>
        <v>2.851025954720587</v>
      </c>
    </row>
    <row r="9" spans="1:7" x14ac:dyDescent="0.3">
      <c r="A9" s="7">
        <f t="shared" si="6"/>
        <v>3</v>
      </c>
      <c r="B9" s="7">
        <f t="shared" si="0"/>
        <v>9</v>
      </c>
      <c r="C9" s="11">
        <f t="shared" si="1"/>
        <v>10.233826859021798</v>
      </c>
      <c r="D9" s="9">
        <f t="shared" si="2"/>
        <v>-1.2338268590217982</v>
      </c>
      <c r="E9" s="7">
        <f t="shared" si="3"/>
        <v>3</v>
      </c>
      <c r="F9" s="9">
        <f t="shared" si="4"/>
        <v>0.2461731409782022</v>
      </c>
      <c r="G9" s="9">
        <f t="shared" si="5"/>
        <v>2.7538268590217978</v>
      </c>
    </row>
    <row r="10" spans="1:7" x14ac:dyDescent="0.3">
      <c r="A10" s="7">
        <f t="shared" si="6"/>
        <v>4</v>
      </c>
      <c r="B10" s="7">
        <f t="shared" si="0"/>
        <v>12</v>
      </c>
      <c r="C10" s="11">
        <f t="shared" si="1"/>
        <v>10.48</v>
      </c>
      <c r="D10" s="9">
        <f t="shared" si="2"/>
        <v>1.5199999999999996</v>
      </c>
      <c r="E10" s="7">
        <f t="shared" si="3"/>
        <v>3</v>
      </c>
      <c r="F10" s="9">
        <f t="shared" si="4"/>
        <v>0.35852549156242119</v>
      </c>
      <c r="G10" s="9">
        <f t="shared" si="5"/>
        <v>2.6414745084375788</v>
      </c>
    </row>
    <row r="11" spans="1:7" x14ac:dyDescent="0.3">
      <c r="A11" s="7">
        <f t="shared" si="6"/>
        <v>5</v>
      </c>
      <c r="B11" s="7">
        <f t="shared" si="0"/>
        <v>15</v>
      </c>
      <c r="C11" s="11">
        <f t="shared" si="1"/>
        <v>10.838525491562422</v>
      </c>
      <c r="D11" s="9">
        <f t="shared" si="2"/>
        <v>4.1614745084375784</v>
      </c>
      <c r="E11" s="7">
        <f t="shared" si="3"/>
        <v>3</v>
      </c>
      <c r="F11" s="9">
        <f t="shared" si="4"/>
        <v>0.48419896954049335</v>
      </c>
      <c r="G11" s="9">
        <f t="shared" si="5"/>
        <v>2.5158010304595066</v>
      </c>
    </row>
    <row r="12" spans="1:7" x14ac:dyDescent="0.3">
      <c r="A12" s="7">
        <f t="shared" si="6"/>
        <v>6</v>
      </c>
      <c r="B12" s="7">
        <f t="shared" si="0"/>
        <v>18</v>
      </c>
      <c r="C12" s="11">
        <f t="shared" si="1"/>
        <v>11.322724461102915</v>
      </c>
      <c r="D12" s="9">
        <f t="shared" si="2"/>
        <v>6.677275538897085</v>
      </c>
      <c r="E12" s="7">
        <f t="shared" si="3"/>
        <v>3</v>
      </c>
      <c r="F12" s="9">
        <f t="shared" si="4"/>
        <v>0.62190275252955729</v>
      </c>
      <c r="G12" s="9">
        <f t="shared" si="5"/>
        <v>2.3780972474704427</v>
      </c>
    </row>
    <row r="13" spans="1:7" x14ac:dyDescent="0.3">
      <c r="A13" s="7">
        <f t="shared" si="6"/>
        <v>7</v>
      </c>
      <c r="B13" s="7">
        <f t="shared" si="0"/>
        <v>21</v>
      </c>
      <c r="C13" s="11">
        <f t="shared" si="1"/>
        <v>11.944627213632472</v>
      </c>
      <c r="D13" s="9">
        <f t="shared" si="2"/>
        <v>9.0553727863675277</v>
      </c>
      <c r="E13" s="7">
        <f t="shared" si="3"/>
        <v>3</v>
      </c>
      <c r="F13" s="9">
        <f t="shared" si="4"/>
        <v>0.77066282612386949</v>
      </c>
      <c r="G13" s="9">
        <f t="shared" si="5"/>
        <v>2.2293371738761305</v>
      </c>
    </row>
    <row r="14" spans="1:7" x14ac:dyDescent="0.3">
      <c r="A14" s="7">
        <f t="shared" si="6"/>
        <v>8</v>
      </c>
      <c r="B14" s="7">
        <f t="shared" si="0"/>
        <v>24</v>
      </c>
      <c r="C14" s="11">
        <f t="shared" si="1"/>
        <v>12.715290039756342</v>
      </c>
      <c r="D14" s="9">
        <f t="shared" si="2"/>
        <v>11.284709960243658</v>
      </c>
      <c r="E14" s="7">
        <f t="shared" si="3"/>
        <v>3</v>
      </c>
      <c r="F14" s="9">
        <f t="shared" si="4"/>
        <v>0.92970996024366137</v>
      </c>
      <c r="G14" s="9">
        <f t="shared" si="5"/>
        <v>2.0702900397563386</v>
      </c>
    </row>
    <row r="15" spans="1:7" x14ac:dyDescent="0.3">
      <c r="A15" s="7">
        <f t="shared" si="6"/>
        <v>9</v>
      </c>
      <c r="B15" s="7">
        <f t="shared" si="0"/>
        <v>27</v>
      </c>
      <c r="C15" s="11">
        <f t="shared" si="1"/>
        <v>13.645000000000003</v>
      </c>
      <c r="D15" s="9">
        <f t="shared" si="2"/>
        <v>13.354999999999997</v>
      </c>
      <c r="E15" s="7">
        <f t="shared" si="3"/>
        <v>3</v>
      </c>
      <c r="F15" s="9">
        <f t="shared" si="4"/>
        <v>1.0984164902525713</v>
      </c>
      <c r="G15" s="9">
        <f t="shared" si="5"/>
        <v>1.9015835097474287</v>
      </c>
    </row>
    <row r="16" spans="1:7" x14ac:dyDescent="0.3">
      <c r="A16" s="7">
        <f t="shared" si="6"/>
        <v>10</v>
      </c>
      <c r="B16" s="7">
        <f t="shared" si="0"/>
        <v>30</v>
      </c>
      <c r="C16" s="11">
        <f t="shared" si="1"/>
        <v>14.743416490252574</v>
      </c>
      <c r="D16" s="9">
        <f t="shared" si="2"/>
        <v>15.256583509747426</v>
      </c>
      <c r="E16" s="7">
        <f t="shared" si="3"/>
        <v>3</v>
      </c>
      <c r="F16" s="9">
        <f t="shared" si="4"/>
        <v>1.2762575042424764</v>
      </c>
      <c r="G16" s="9">
        <f t="shared" si="5"/>
        <v>1.7237424957575236</v>
      </c>
    </row>
    <row r="17" spans="1:10" x14ac:dyDescent="0.3">
      <c r="A17" s="7">
        <f t="shared" si="6"/>
        <v>11</v>
      </c>
      <c r="B17" s="7">
        <f t="shared" si="0"/>
        <v>33</v>
      </c>
      <c r="C17" s="11">
        <f t="shared" si="1"/>
        <v>16.019673994495051</v>
      </c>
      <c r="D17" s="9">
        <f t="shared" si="2"/>
        <v>16.980326005504949</v>
      </c>
      <c r="E17" s="7">
        <f t="shared" si="3"/>
        <v>3</v>
      </c>
      <c r="F17" s="9">
        <f t="shared" si="4"/>
        <v>1.4627854942024996</v>
      </c>
      <c r="G17" s="9">
        <f t="shared" si="5"/>
        <v>1.5372145057975004</v>
      </c>
    </row>
    <row r="18" spans="1:10" x14ac:dyDescent="0.3">
      <c r="A18" s="7">
        <f t="shared" si="6"/>
        <v>12</v>
      </c>
      <c r="B18" s="7">
        <f t="shared" si="0"/>
        <v>36</v>
      </c>
      <c r="C18" s="11">
        <f t="shared" si="1"/>
        <v>17.48245948869755</v>
      </c>
      <c r="D18" s="9">
        <f t="shared" si="2"/>
        <v>18.51754051130245</v>
      </c>
      <c r="E18" s="7">
        <f t="shared" si="3"/>
        <v>3</v>
      </c>
      <c r="F18" s="9">
        <f t="shared" si="4"/>
        <v>1.6576129946036602</v>
      </c>
      <c r="G18" s="9">
        <f t="shared" si="5"/>
        <v>1.3423870053963398</v>
      </c>
    </row>
    <row r="19" spans="1:10" x14ac:dyDescent="0.3">
      <c r="A19" s="7">
        <f t="shared" si="6"/>
        <v>13</v>
      </c>
      <c r="B19" s="7">
        <f t="shared" si="0"/>
        <v>39</v>
      </c>
      <c r="C19" s="11">
        <f t="shared" si="1"/>
        <v>19.140072483301211</v>
      </c>
      <c r="D19" s="9">
        <f t="shared" si="2"/>
        <v>19.859927516698789</v>
      </c>
      <c r="E19" s="7">
        <f t="shared" si="3"/>
        <v>3</v>
      </c>
      <c r="F19" s="9">
        <f t="shared" si="4"/>
        <v>1.8604002338141754</v>
      </c>
      <c r="G19" s="9">
        <f t="shared" si="5"/>
        <v>1.1395997661858246</v>
      </c>
    </row>
    <row r="20" spans="1:10" x14ac:dyDescent="0.3">
      <c r="A20" s="7">
        <f t="shared" si="6"/>
        <v>14</v>
      </c>
      <c r="B20" s="7">
        <f t="shared" si="0"/>
        <v>42</v>
      </c>
      <c r="C20" s="11">
        <f t="shared" si="1"/>
        <v>21.000472717115386</v>
      </c>
      <c r="D20" s="9">
        <f t="shared" si="2"/>
        <v>20.999527282884614</v>
      </c>
      <c r="E20" s="7">
        <f t="shared" si="3"/>
        <v>3</v>
      </c>
      <c r="F20" s="9">
        <f t="shared" si="4"/>
        <v>2.0708460763346466</v>
      </c>
      <c r="G20" s="9">
        <f t="shared" si="5"/>
        <v>0.92915392366535343</v>
      </c>
    </row>
    <row r="21" spans="1:10" x14ac:dyDescent="0.3">
      <c r="A21" s="7">
        <f t="shared" si="6"/>
        <v>15</v>
      </c>
      <c r="B21" s="7">
        <f t="shared" si="0"/>
        <v>45</v>
      </c>
      <c r="C21" s="11">
        <f t="shared" si="1"/>
        <v>23.071318793450033</v>
      </c>
      <c r="D21" s="9">
        <f t="shared" si="2"/>
        <v>21.928681206549967</v>
      </c>
      <c r="E21" s="7">
        <f t="shared" si="3"/>
        <v>3</v>
      </c>
      <c r="F21" s="9">
        <f t="shared" si="4"/>
        <v>2.2886812065499669</v>
      </c>
      <c r="G21" s="9">
        <f t="shared" si="5"/>
        <v>0.71131879345003313</v>
      </c>
    </row>
    <row r="22" spans="1:10" x14ac:dyDescent="0.3">
      <c r="A22" s="7">
        <f t="shared" si="6"/>
        <v>16</v>
      </c>
      <c r="B22" s="7">
        <f t="shared" si="0"/>
        <v>48</v>
      </c>
      <c r="C22" s="11">
        <f t="shared" si="1"/>
        <v>25.36</v>
      </c>
      <c r="D22" s="9">
        <f t="shared" si="2"/>
        <v>22.64</v>
      </c>
      <c r="E22" s="7">
        <f t="shared" si="3"/>
        <v>3</v>
      </c>
      <c r="F22" s="9">
        <f t="shared" si="4"/>
        <v>2.5136628870525541</v>
      </c>
      <c r="G22" s="9">
        <f t="shared" si="5"/>
        <v>0.48633711294744586</v>
      </c>
      <c r="I22" s="2" t="s">
        <v>6</v>
      </c>
      <c r="J22" s="4">
        <f>MAX(D6:D46)</f>
        <v>23.396562220727262</v>
      </c>
    </row>
    <row r="23" spans="1:10" x14ac:dyDescent="0.3">
      <c r="A23" s="7">
        <f t="shared" si="6"/>
        <v>17</v>
      </c>
      <c r="B23" s="7">
        <f t="shared" si="0"/>
        <v>51</v>
      </c>
      <c r="C23" s="11">
        <f t="shared" si="1"/>
        <v>27.873662887052554</v>
      </c>
      <c r="D23" s="9">
        <f t="shared" si="2"/>
        <v>23.126337112947446</v>
      </c>
      <c r="E23" s="7">
        <f t="shared" si="3"/>
        <v>3</v>
      </c>
      <c r="F23" s="9">
        <f t="shared" si="4"/>
        <v>2.7455708523471714</v>
      </c>
      <c r="G23" s="9">
        <f t="shared" si="5"/>
        <v>0.25442914765282865</v>
      </c>
      <c r="I23" s="2" t="s">
        <v>7</v>
      </c>
      <c r="J23" s="1">
        <f ca="1">OFFSET($A$5, MATCH(J22,D6:D46, 0),0)</f>
        <v>19</v>
      </c>
    </row>
    <row r="24" spans="1:10" x14ac:dyDescent="0.3">
      <c r="A24" s="7">
        <f t="shared" si="6"/>
        <v>18</v>
      </c>
      <c r="B24" s="7">
        <f t="shared" si="0"/>
        <v>54</v>
      </c>
      <c r="C24" s="11">
        <f t="shared" si="1"/>
        <v>30.619233739399725</v>
      </c>
      <c r="D24" s="9">
        <f t="shared" si="2"/>
        <v>23.380766260600275</v>
      </c>
      <c r="E24" s="7">
        <f t="shared" si="3"/>
        <v>3</v>
      </c>
      <c r="F24" s="9">
        <f t="shared" si="4"/>
        <v>2.9842040398730134</v>
      </c>
      <c r="G24" s="9">
        <f t="shared" si="5"/>
        <v>1.5795960126986586E-2</v>
      </c>
    </row>
    <row r="25" spans="1:10" x14ac:dyDescent="0.3">
      <c r="A25" s="7">
        <f t="shared" si="6"/>
        <v>19</v>
      </c>
      <c r="B25" s="7">
        <f t="shared" si="0"/>
        <v>57</v>
      </c>
      <c r="C25" s="11">
        <f t="shared" si="1"/>
        <v>33.603437779272738</v>
      </c>
      <c r="D25" s="9">
        <f t="shared" si="2"/>
        <v>23.396562220727262</v>
      </c>
      <c r="E25" s="7">
        <f t="shared" si="3"/>
        <v>3</v>
      </c>
      <c r="F25" s="9">
        <f t="shared" si="4"/>
        <v>3.2293779507247251</v>
      </c>
      <c r="G25" s="9">
        <f t="shared" si="5"/>
        <v>-0.22937795072472511</v>
      </c>
    </row>
    <row r="26" spans="1:10" x14ac:dyDescent="0.3">
      <c r="A26" s="7">
        <f t="shared" si="6"/>
        <v>20</v>
      </c>
      <c r="B26" s="7">
        <f t="shared" si="0"/>
        <v>60</v>
      </c>
      <c r="C26" s="11">
        <f t="shared" si="1"/>
        <v>36.832815729997463</v>
      </c>
      <c r="D26" s="9">
        <f t="shared" si="2"/>
        <v>23.167184270002537</v>
      </c>
      <c r="E26" s="7">
        <f t="shared" si="3"/>
        <v>3</v>
      </c>
      <c r="F26" s="9">
        <f t="shared" si="4"/>
        <v>3.4809224921354129</v>
      </c>
      <c r="G26" s="9">
        <f t="shared" si="5"/>
        <v>-0.48092249213541294</v>
      </c>
    </row>
    <row r="27" spans="1:10" x14ac:dyDescent="0.3">
      <c r="A27" s="7">
        <f t="shared" si="6"/>
        <v>21</v>
      </c>
      <c r="B27" s="7">
        <f t="shared" si="0"/>
        <v>63</v>
      </c>
      <c r="C27" s="11">
        <f t="shared" si="1"/>
        <v>40.313738222132876</v>
      </c>
      <c r="D27" s="9">
        <f t="shared" si="2"/>
        <v>22.686261777867124</v>
      </c>
      <c r="E27" s="7">
        <f t="shared" si="3"/>
        <v>3</v>
      </c>
      <c r="F27" s="9">
        <f t="shared" si="4"/>
        <v>3.7386801941852355</v>
      </c>
      <c r="G27" s="9">
        <f t="shared" si="5"/>
        <v>-0.73868019418523545</v>
      </c>
    </row>
    <row r="28" spans="1:10" x14ac:dyDescent="0.3">
      <c r="A28" s="7">
        <f t="shared" si="6"/>
        <v>22</v>
      </c>
      <c r="B28" s="7">
        <f t="shared" si="0"/>
        <v>66</v>
      </c>
      <c r="C28" s="11">
        <f t="shared" si="1"/>
        <v>44.052418416318112</v>
      </c>
      <c r="D28" s="9">
        <f t="shared" si="2"/>
        <v>21.947581583681888</v>
      </c>
      <c r="E28" s="7">
        <f t="shared" si="3"/>
        <v>3</v>
      </c>
      <c r="F28" s="9">
        <f t="shared" si="4"/>
        <v>4.0025047211683145</v>
      </c>
      <c r="G28" s="9">
        <f t="shared" si="5"/>
        <v>-1.0025047211683145</v>
      </c>
    </row>
    <row r="29" spans="1:10" x14ac:dyDescent="0.3">
      <c r="A29" s="7">
        <f t="shared" si="6"/>
        <v>23</v>
      </c>
      <c r="B29" s="7">
        <f t="shared" si="0"/>
        <v>69</v>
      </c>
      <c r="C29" s="11">
        <f t="shared" si="1"/>
        <v>48.054923137486426</v>
      </c>
      <c r="D29" s="9">
        <f t="shared" si="2"/>
        <v>20.945076862513574</v>
      </c>
      <c r="E29" s="7">
        <f t="shared" si="3"/>
        <v>3</v>
      </c>
      <c r="F29" s="9">
        <f t="shared" si="4"/>
        <v>4.2722596178068954</v>
      </c>
      <c r="G29" s="9">
        <f t="shared" si="5"/>
        <v>-1.2722596178068954</v>
      </c>
    </row>
    <row r="30" spans="1:10" x14ac:dyDescent="0.3">
      <c r="A30" s="7">
        <f t="shared" si="6"/>
        <v>24</v>
      </c>
      <c r="B30" s="7">
        <f t="shared" si="0"/>
        <v>72</v>
      </c>
      <c r="C30" s="11">
        <f t="shared" si="1"/>
        <v>52.327182755293322</v>
      </c>
      <c r="D30" s="9">
        <f t="shared" si="2"/>
        <v>19.672817244706678</v>
      </c>
      <c r="E30" s="7">
        <f t="shared" si="3"/>
        <v>3</v>
      </c>
      <c r="F30" s="9">
        <f t="shared" si="4"/>
        <v>4.547817244706664</v>
      </c>
      <c r="G30" s="9">
        <f t="shared" si="5"/>
        <v>-1.547817244706664</v>
      </c>
    </row>
    <row r="31" spans="1:10" x14ac:dyDescent="0.3">
      <c r="A31" s="7">
        <f t="shared" si="6"/>
        <v>25</v>
      </c>
      <c r="B31" s="7">
        <f>$B$2*A31</f>
        <v>75</v>
      </c>
      <c r="C31" s="11">
        <f t="shared" si="1"/>
        <v>56.874999999999986</v>
      </c>
      <c r="D31" s="9">
        <f t="shared" si="2"/>
        <v>18.125000000000014</v>
      </c>
      <c r="E31" s="7">
        <f t="shared" si="3"/>
        <v>3</v>
      </c>
      <c r="F31" s="9">
        <f t="shared" si="4"/>
        <v>4.8290578678308478</v>
      </c>
      <c r="G31" s="9">
        <f t="shared" si="5"/>
        <v>-1.8290578678308478</v>
      </c>
    </row>
    <row r="32" spans="1:10" x14ac:dyDescent="0.3">
      <c r="A32" s="7">
        <f t="shared" si="6"/>
        <v>26</v>
      </c>
      <c r="B32" s="7">
        <f t="shared" si="0"/>
        <v>78</v>
      </c>
      <c r="C32" s="11">
        <f t="shared" si="1"/>
        <v>61.704057867830834</v>
      </c>
      <c r="D32" s="9">
        <f t="shared" si="2"/>
        <v>16.295942132169166</v>
      </c>
      <c r="E32" s="7">
        <f t="shared" si="3"/>
        <v>3</v>
      </c>
      <c r="F32" s="9">
        <f t="shared" si="4"/>
        <v>5.1158688744661944</v>
      </c>
      <c r="G32" s="9">
        <f t="shared" si="5"/>
        <v>-2.1158688744661944</v>
      </c>
    </row>
    <row r="33" spans="1:7" x14ac:dyDescent="0.3">
      <c r="A33" s="7">
        <f t="shared" si="6"/>
        <v>27</v>
      </c>
      <c r="B33" s="7">
        <f t="shared" si="0"/>
        <v>81</v>
      </c>
      <c r="C33" s="11">
        <f t="shared" si="1"/>
        <v>66.819926742297028</v>
      </c>
      <c r="D33" s="9">
        <f t="shared" si="2"/>
        <v>14.180073257702972</v>
      </c>
      <c r="E33" s="7">
        <f t="shared" si="3"/>
        <v>3</v>
      </c>
      <c r="F33" s="9">
        <f t="shared" si="4"/>
        <v>5.4081440939421412</v>
      </c>
      <c r="G33" s="9">
        <f t="shared" si="5"/>
        <v>-2.4081440939421412</v>
      </c>
    </row>
    <row r="34" spans="1:7" x14ac:dyDescent="0.3">
      <c r="A34" s="7">
        <f t="shared" si="6"/>
        <v>28</v>
      </c>
      <c r="B34" s="7">
        <f t="shared" si="0"/>
        <v>84</v>
      </c>
      <c r="C34" s="11">
        <f t="shared" si="1"/>
        <v>72.228070836239169</v>
      </c>
      <c r="D34" s="9">
        <f t="shared" si="2"/>
        <v>11.771929163760831</v>
      </c>
      <c r="E34" s="7">
        <f t="shared" si="3"/>
        <v>3</v>
      </c>
      <c r="F34" s="9">
        <f t="shared" si="4"/>
        <v>5.7057832057625717</v>
      </c>
      <c r="G34" s="9">
        <f t="shared" si="5"/>
        <v>-2.7057832057625717</v>
      </c>
    </row>
    <row r="35" spans="1:7" x14ac:dyDescent="0.3">
      <c r="A35" s="7">
        <f t="shared" si="6"/>
        <v>29</v>
      </c>
      <c r="B35" s="7">
        <f t="shared" si="0"/>
        <v>87</v>
      </c>
      <c r="C35" s="11">
        <f t="shared" si="1"/>
        <v>77.933854042001741</v>
      </c>
      <c r="D35" s="9">
        <f t="shared" si="2"/>
        <v>9.0661459579982591</v>
      </c>
      <c r="E35" s="7">
        <f t="shared" si="3"/>
        <v>3</v>
      </c>
      <c r="F35" s="9">
        <f t="shared" si="4"/>
        <v>6.0086912211957184</v>
      </c>
      <c r="G35" s="9">
        <f t="shared" si="5"/>
        <v>-3.0086912211957184</v>
      </c>
    </row>
    <row r="36" spans="1:7" x14ac:dyDescent="0.3">
      <c r="A36" s="7">
        <f t="shared" si="6"/>
        <v>30</v>
      </c>
      <c r="B36" s="7">
        <f t="shared" si="0"/>
        <v>90</v>
      </c>
      <c r="C36" s="11">
        <f t="shared" si="1"/>
        <v>83.942545263197459</v>
      </c>
      <c r="D36" s="9">
        <f t="shared" si="2"/>
        <v>6.0574547368025407</v>
      </c>
      <c r="E36" s="7">
        <f t="shared" si="3"/>
        <v>3</v>
      </c>
      <c r="F36" s="9">
        <f t="shared" si="4"/>
        <v>6.3167780269972695</v>
      </c>
      <c r="G36" s="9">
        <f t="shared" si="5"/>
        <v>-3.3167780269972695</v>
      </c>
    </row>
    <row r="37" spans="1:7" x14ac:dyDescent="0.3">
      <c r="A37" s="7">
        <f t="shared" si="6"/>
        <v>31</v>
      </c>
      <c r="B37" s="7">
        <f t="shared" si="0"/>
        <v>93</v>
      </c>
      <c r="C37" s="11">
        <f t="shared" si="1"/>
        <v>90.259323290194729</v>
      </c>
      <c r="D37" s="9">
        <f t="shared" si="2"/>
        <v>2.7406767098052711</v>
      </c>
      <c r="E37" s="7">
        <f t="shared" si="3"/>
        <v>3</v>
      </c>
      <c r="F37" s="9">
        <f t="shared" si="4"/>
        <v>6.6299579820082499</v>
      </c>
      <c r="G37" s="9">
        <f t="shared" si="5"/>
        <v>-3.6299579820082499</v>
      </c>
    </row>
    <row r="38" spans="1:7" x14ac:dyDescent="0.3">
      <c r="A38" s="7">
        <f t="shared" si="6"/>
        <v>32</v>
      </c>
      <c r="B38" s="7">
        <f t="shared" si="0"/>
        <v>96</v>
      </c>
      <c r="C38" s="11">
        <f t="shared" si="1"/>
        <v>96.889281272202979</v>
      </c>
      <c r="D38" s="9">
        <f t="shared" si="2"/>
        <v>-0.88928127220297881</v>
      </c>
      <c r="E38" s="7">
        <f t="shared" si="3"/>
        <v>3</v>
      </c>
      <c r="F38" s="9">
        <f t="shared" si="4"/>
        <v>6.9481495589957802</v>
      </c>
      <c r="G38" s="9">
        <f t="shared" si="5"/>
        <v>-3.9481495589957802</v>
      </c>
    </row>
    <row r="39" spans="1:7" x14ac:dyDescent="0.3">
      <c r="A39" s="7">
        <f t="shared" si="6"/>
        <v>33</v>
      </c>
      <c r="B39" s="7">
        <f t="shared" si="0"/>
        <v>99</v>
      </c>
      <c r="C39" s="11">
        <f t="shared" si="1"/>
        <v>103.83743083119876</v>
      </c>
      <c r="D39" s="9">
        <f t="shared" si="2"/>
        <v>-4.8374308311987591</v>
      </c>
      <c r="E39" s="7">
        <f t="shared" si="3"/>
        <v>3</v>
      </c>
      <c r="F39" s="9">
        <f t="shared" si="4"/>
        <v>7.2712750254188308</v>
      </c>
      <c r="G39" s="9">
        <f t="shared" si="5"/>
        <v>-4.2712750254188308</v>
      </c>
    </row>
    <row r="40" spans="1:7" x14ac:dyDescent="0.3">
      <c r="A40" s="7">
        <f t="shared" si="6"/>
        <v>34</v>
      </c>
      <c r="B40" s="7">
        <f t="shared" si="0"/>
        <v>102</v>
      </c>
      <c r="C40" s="11">
        <f t="shared" si="1"/>
        <v>111.10870585661759</v>
      </c>
      <c r="D40" s="9">
        <f t="shared" si="2"/>
        <v>-9.1087058566175898</v>
      </c>
      <c r="E40" s="7">
        <f t="shared" si="3"/>
        <v>3</v>
      </c>
      <c r="F40" s="9">
        <f t="shared" si="4"/>
        <v>7.5992601578377759</v>
      </c>
      <c r="G40" s="9">
        <f t="shared" si="5"/>
        <v>-4.5992601578377759</v>
      </c>
    </row>
    <row r="41" spans="1:7" x14ac:dyDescent="0.3">
      <c r="A41" s="7">
        <f t="shared" si="6"/>
        <v>35</v>
      </c>
      <c r="B41" s="7">
        <f t="shared" si="0"/>
        <v>105</v>
      </c>
      <c r="C41" s="11">
        <f t="shared" si="1"/>
        <v>118.70796601445537</v>
      </c>
      <c r="D41" s="9">
        <f t="shared" si="2"/>
        <v>-13.707966014455366</v>
      </c>
      <c r="E41" s="7">
        <f t="shared" si="3"/>
        <v>3</v>
      </c>
      <c r="F41" s="9">
        <f t="shared" si="4"/>
        <v>7.9320339855445496</v>
      </c>
      <c r="G41" s="9">
        <f t="shared" si="5"/>
        <v>-4.9320339855445496</v>
      </c>
    </row>
    <row r="42" spans="1:7" x14ac:dyDescent="0.3">
      <c r="A42" s="7">
        <f t="shared" si="6"/>
        <v>36</v>
      </c>
      <c r="B42" s="7">
        <f t="shared" si="0"/>
        <v>108</v>
      </c>
      <c r="C42" s="11">
        <f t="shared" si="1"/>
        <v>126.63999999999992</v>
      </c>
      <c r="D42" s="9">
        <f t="shared" si="2"/>
        <v>-18.639999999999915</v>
      </c>
      <c r="E42" s="7">
        <f t="shared" si="3"/>
        <v>3</v>
      </c>
      <c r="F42" s="9">
        <f t="shared" si="4"/>
        <v>8.2695285596739865</v>
      </c>
      <c r="G42" s="9">
        <f t="shared" si="5"/>
        <v>-5.2695285596739865</v>
      </c>
    </row>
    <row r="43" spans="1:7" x14ac:dyDescent="0.3">
      <c r="A43" s="7">
        <f t="shared" si="6"/>
        <v>37</v>
      </c>
      <c r="B43" s="7">
        <f t="shared" si="0"/>
        <v>111</v>
      </c>
      <c r="C43" s="11">
        <f t="shared" si="1"/>
        <v>134.9095285596739</v>
      </c>
      <c r="D43" s="9">
        <f t="shared" si="2"/>
        <v>-23.909528559673902</v>
      </c>
      <c r="E43" s="7">
        <f t="shared" si="3"/>
        <v>3</v>
      </c>
      <c r="F43" s="9">
        <f t="shared" si="4"/>
        <v>8.611678744634105</v>
      </c>
      <c r="G43" s="9">
        <f t="shared" si="5"/>
        <v>-5.611678744634105</v>
      </c>
    </row>
    <row r="44" spans="1:7" x14ac:dyDescent="0.3">
      <c r="A44" s="7">
        <f t="shared" si="6"/>
        <v>38</v>
      </c>
      <c r="B44" s="7">
        <f t="shared" si="0"/>
        <v>114</v>
      </c>
      <c r="C44" s="11">
        <f t="shared" si="1"/>
        <v>143.52120730430801</v>
      </c>
      <c r="D44" s="9">
        <f t="shared" si="2"/>
        <v>-29.521207304308007</v>
      </c>
      <c r="E44" s="7">
        <f t="shared" si="3"/>
        <v>3</v>
      </c>
      <c r="F44" s="9">
        <f t="shared" si="4"/>
        <v>8.9584220291514498</v>
      </c>
      <c r="G44" s="9">
        <f t="shared" si="5"/>
        <v>-5.9584220291514498</v>
      </c>
    </row>
    <row r="45" spans="1:7" x14ac:dyDescent="0.3">
      <c r="A45" s="7">
        <f t="shared" si="6"/>
        <v>39</v>
      </c>
      <c r="B45" s="7">
        <f t="shared" si="0"/>
        <v>117</v>
      </c>
      <c r="C45" s="11">
        <f t="shared" si="1"/>
        <v>152.47962933345946</v>
      </c>
      <c r="D45" s="9">
        <f t="shared" si="2"/>
        <v>-35.479629333459457</v>
      </c>
      <c r="E45" s="7">
        <f t="shared" si="3"/>
        <v>3</v>
      </c>
      <c r="F45" s="9">
        <f>C46-C45</f>
        <v>9.3096983546226966</v>
      </c>
      <c r="G45" s="9">
        <f t="shared" si="5"/>
        <v>-6.3096983546226966</v>
      </c>
    </row>
    <row r="46" spans="1:7" x14ac:dyDescent="0.3">
      <c r="A46" s="8">
        <f t="shared" si="6"/>
        <v>40</v>
      </c>
      <c r="B46" s="8">
        <f t="shared" si="0"/>
        <v>120</v>
      </c>
      <c r="C46" s="12">
        <f t="shared" si="1"/>
        <v>161.78932768808215</v>
      </c>
      <c r="D46" s="10">
        <f t="shared" si="2"/>
        <v>-41.789327688082153</v>
      </c>
      <c r="E46" s="8">
        <f>B46-B45</f>
        <v>3</v>
      </c>
      <c r="F46" s="10">
        <f>C46-C45</f>
        <v>9.3096983546226966</v>
      </c>
      <c r="G46" s="10">
        <f>E46-F46</f>
        <v>-6.3096983546226966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45p42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FOLLONI GIORGIA</dc:creator>
  <cp:lastModifiedBy>FOLLONI GIORGIA</cp:lastModifiedBy>
  <dcterms:created xsi:type="dcterms:W3CDTF">2026-10-14T09:07:09Z</dcterms:created>
  <dcterms:modified xsi:type="dcterms:W3CDTF">2026-10-14T10:43:39Z</dcterms:modified>
</cp:coreProperties>
</file>