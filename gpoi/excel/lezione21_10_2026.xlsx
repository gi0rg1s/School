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FOLLONI1\Desktop\School\gpoi\excel\"/>
    </mc:Choice>
  </mc:AlternateContent>
  <xr:revisionPtr revIDLastSave="0" documentId="13_ncr:1_{CB8CA378-5073-492D-A598-E6FA1F6282AF}" xr6:coauthVersionLast="36" xr6:coauthVersionMax="36" xr10:uidLastSave="{00000000-0000-0000-0000-000000000000}"/>
  <bookViews>
    <workbookView xWindow="0" yWindow="0" windowWidth="17256" windowHeight="6636" xr2:uid="{9A8A63A6-7E02-4595-9314-68F9D434B064}"/>
  </bookViews>
  <sheets>
    <sheet name="48p42" sheetId="1" r:id="rId1"/>
    <sheet name="49p42" sheetId="2" r:id="rId2"/>
    <sheet name="50p42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9" i="1" l="1"/>
  <c r="B14" i="1"/>
  <c r="B17" i="2"/>
  <c r="C15" i="2"/>
  <c r="D15" i="2"/>
  <c r="E15" i="2"/>
  <c r="F15" i="2"/>
  <c r="G15" i="2"/>
  <c r="H15" i="2"/>
  <c r="I15" i="2"/>
  <c r="J15" i="2"/>
  <c r="K15" i="2"/>
  <c r="L15" i="2"/>
  <c r="B15" i="2"/>
  <c r="D9" i="2"/>
  <c r="E9" i="2"/>
  <c r="F9" i="2"/>
  <c r="G9" i="2"/>
  <c r="H9" i="2"/>
  <c r="I9" i="2"/>
  <c r="J9" i="2"/>
  <c r="K9" i="2"/>
  <c r="L9" i="2"/>
  <c r="C9" i="2"/>
  <c r="B9" i="2"/>
  <c r="C17" i="1"/>
  <c r="D17" i="1"/>
  <c r="E17" i="1"/>
  <c r="F17" i="1"/>
  <c r="G17" i="1"/>
  <c r="H17" i="1"/>
  <c r="I17" i="1"/>
  <c r="J17" i="1"/>
  <c r="K17" i="1"/>
  <c r="L17" i="1"/>
  <c r="B17" i="1"/>
  <c r="D12" i="1"/>
  <c r="E12" i="1"/>
  <c r="F12" i="1" s="1"/>
  <c r="G12" i="1" s="1"/>
  <c r="H12" i="1" s="1"/>
  <c r="I12" i="1" s="1"/>
  <c r="J12" i="1" s="1"/>
  <c r="K12" i="1" s="1"/>
  <c r="L12" i="1" s="1"/>
  <c r="C12" i="1"/>
  <c r="B12" i="1"/>
  <c r="B15" i="1"/>
  <c r="B12" i="2"/>
  <c r="B13" i="2"/>
  <c r="B14" i="2"/>
  <c r="G10" i="3"/>
  <c r="G11" i="3"/>
  <c r="D11" i="3"/>
  <c r="D10" i="3"/>
  <c r="D8" i="3"/>
  <c r="D9" i="3"/>
  <c r="E6" i="3"/>
  <c r="E5" i="3"/>
  <c r="E4" i="3"/>
  <c r="E3" i="3"/>
  <c r="C10" i="1"/>
  <c r="D7" i="2"/>
  <c r="E7" i="2"/>
  <c r="F7" i="2"/>
  <c r="G7" i="2"/>
  <c r="H7" i="2"/>
  <c r="I7" i="2"/>
  <c r="J7" i="2"/>
  <c r="K7" i="2"/>
  <c r="L7" i="2"/>
  <c r="C7" i="2"/>
  <c r="B11" i="2"/>
  <c r="F10" i="1"/>
  <c r="L10" i="1" l="1"/>
  <c r="I10" i="1"/>
  <c r="H10" i="1"/>
  <c r="G10" i="1"/>
  <c r="E10" i="1"/>
  <c r="D10" i="1"/>
  <c r="K10" i="1"/>
  <c r="J10" i="1"/>
  <c r="B16" i="1" l="1"/>
</calcChain>
</file>

<file path=xl/sharedStrings.xml><?xml version="1.0" encoding="utf-8"?>
<sst xmlns="http://schemas.openxmlformats.org/spreadsheetml/2006/main" count="43" uniqueCount="33">
  <si>
    <t xml:space="preserve">i = </t>
  </si>
  <si>
    <t xml:space="preserve">r annuo = </t>
  </si>
  <si>
    <t xml:space="preserve">anni = </t>
  </si>
  <si>
    <t>ROI</t>
  </si>
  <si>
    <t xml:space="preserve">VAN </t>
  </si>
  <si>
    <t>Payback period</t>
  </si>
  <si>
    <t>anno</t>
  </si>
  <si>
    <t>Ricavi annui</t>
  </si>
  <si>
    <t>anni =</t>
  </si>
  <si>
    <t>ROI =</t>
  </si>
  <si>
    <t>VAN</t>
  </si>
  <si>
    <t>TIR</t>
  </si>
  <si>
    <t>Tv</t>
  </si>
  <si>
    <t>Pay Tv</t>
  </si>
  <si>
    <t>Tablet</t>
  </si>
  <si>
    <t>Bundle</t>
  </si>
  <si>
    <t>A</t>
  </si>
  <si>
    <t>B</t>
  </si>
  <si>
    <t>Ricavi annui attualizzati</t>
  </si>
  <si>
    <t>ricavi annui attualizzati</t>
  </si>
  <si>
    <t>Tv vendute</t>
  </si>
  <si>
    <t>Pay tv vendute</t>
  </si>
  <si>
    <t>Tablet ventuti</t>
  </si>
  <si>
    <t>Bundle venduti</t>
  </si>
  <si>
    <t>Incasso senza bundle</t>
  </si>
  <si>
    <t>Incasso con bundle</t>
  </si>
  <si>
    <t>montante</t>
  </si>
  <si>
    <t>profitto</t>
  </si>
  <si>
    <t>Profitto</t>
  </si>
  <si>
    <t>tasso</t>
  </si>
  <si>
    <t>Tasso interesse banca</t>
  </si>
  <si>
    <t>Il VAN è solo di 9,089€ perché dobbiamo applicare il tasso di interesse della banca</t>
  </si>
  <si>
    <t>è la differenza tra il rendimento dell'operazione al 4% e quella al 31%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</si>
</sst>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6" formatCode="_-* #,##0\ _€_-;\-* #,##0\ _€_-;_-* &quot;-&quot;??\ _€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44" fontId="0" fillId="0" borderId="0" xfId="2" applyFont="1"/>
    <xf numFmtId="9" fontId="0" fillId="0" borderId="0" xfId="3" applyFont="1"/>
    <xf numFmtId="44" fontId="0" fillId="0" borderId="0" xfId="0" applyNumberFormat="1"/>
    <xf numFmtId="43" fontId="0" fillId="0" borderId="0" xfId="1" applyFont="1"/>
    <xf numFmtId="166" fontId="0" fillId="0" borderId="0" xfId="1" applyNumberFormat="1" applyFont="1"/>
    <xf numFmtId="9" fontId="0" fillId="0" borderId="0" xfId="0" applyNumberFormat="1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0" fillId="2" borderId="0" xfId="0" applyFill="1" applyAlignment="1">
      <alignment horizontal="left" wrapText="1"/>
    </xf>
    <xf numFmtId="0" fontId="0" fillId="2" borderId="0" xfId="0" applyFill="1" applyAlignment="1">
      <alignment wrapText="1"/>
    </xf>
    <xf numFmtId="0" fontId="0" fillId="2" borderId="0" xfId="0" applyFill="1" applyAlignment="1"/>
    <xf numFmtId="0" fontId="2" fillId="0" borderId="0" xfId="0" applyFont="1"/>
  </cellXfs>
  <cellStyles count="4">
    <cellStyle name="Migliaia" xfId="1" builtinId="3"/>
    <cellStyle name="Normale" xfId="0" builtinId="0"/>
    <cellStyle name="Percentuale" xfId="3" builtinId="5"/>
    <cellStyle name="Valuta" xfId="2" builtinId="4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0E3C4-6603-488F-A78B-C3EF4BD2990E}">
  <dimension ref="A1:L23"/>
  <sheetViews>
    <sheetView tabSelected="1" workbookViewId="0">
      <selection activeCell="B24" sqref="B24"/>
    </sheetView>
  </sheetViews>
  <sheetFormatPr defaultRowHeight="14.4" x14ac:dyDescent="0.3"/>
  <cols>
    <col min="1" max="1" width="20.5546875" customWidth="1"/>
    <col min="2" max="2" width="13.77734375" customWidth="1"/>
    <col min="3" max="3" width="11.77734375" bestFit="1" customWidth="1"/>
    <col min="4" max="12" width="12" customWidth="1"/>
  </cols>
  <sheetData>
    <row r="1" spans="1:12" x14ac:dyDescent="0.3">
      <c r="A1" s="7" t="s">
        <v>0</v>
      </c>
      <c r="B1" s="1">
        <v>30000</v>
      </c>
    </row>
    <row r="2" spans="1:12" x14ac:dyDescent="0.3">
      <c r="A2" s="7" t="s">
        <v>1</v>
      </c>
      <c r="B2" s="1">
        <v>12500</v>
      </c>
    </row>
    <row r="3" spans="1:12" x14ac:dyDescent="0.3">
      <c r="A3" s="7" t="s">
        <v>2</v>
      </c>
      <c r="B3" s="5">
        <v>5</v>
      </c>
    </row>
    <row r="4" spans="1:12" x14ac:dyDescent="0.3">
      <c r="A4" s="10" t="s">
        <v>29</v>
      </c>
      <c r="B4" s="2">
        <v>0.18</v>
      </c>
      <c r="C4" t="s">
        <v>30</v>
      </c>
    </row>
    <row r="8" spans="1:12" x14ac:dyDescent="0.3">
      <c r="A8" s="7" t="s">
        <v>6</v>
      </c>
      <c r="B8">
        <v>0</v>
      </c>
      <c r="C8">
        <v>1</v>
      </c>
      <c r="D8">
        <v>2</v>
      </c>
      <c r="E8">
        <v>3</v>
      </c>
      <c r="F8">
        <v>4</v>
      </c>
      <c r="G8">
        <v>5</v>
      </c>
      <c r="H8">
        <v>6</v>
      </c>
      <c r="I8">
        <v>7</v>
      </c>
      <c r="J8">
        <v>8</v>
      </c>
      <c r="K8">
        <v>9</v>
      </c>
      <c r="L8">
        <v>10</v>
      </c>
    </row>
    <row r="10" spans="1:12" x14ac:dyDescent="0.3">
      <c r="A10" s="7" t="s">
        <v>19</v>
      </c>
      <c r="B10" s="1">
        <v>-30000</v>
      </c>
      <c r="C10" s="1">
        <f>$B$2/(1+$B$4)^C8</f>
        <v>10593.220338983052</v>
      </c>
      <c r="D10" s="1">
        <f>$B$2/(1+$B$4)^D8</f>
        <v>8977.3053720195348</v>
      </c>
      <c r="E10" s="1">
        <f>$B$2/(1+$B$4)^E8</f>
        <v>7607.8859084911319</v>
      </c>
      <c r="F10" s="1">
        <f>$B$2/(1+$B$4)^F8</f>
        <v>6447.3609393992647</v>
      </c>
      <c r="G10" s="1">
        <f>$B$2/(1+$B$4)^G8</f>
        <v>5463.8652028807337</v>
      </c>
      <c r="H10" s="1">
        <f>$B$2/(1+$B$4)^H8</f>
        <v>4630.394239729435</v>
      </c>
      <c r="I10" s="1">
        <f>$B$2/(1+$B$4)^I8</f>
        <v>3924.0629150249451</v>
      </c>
      <c r="J10" s="1">
        <f>$B$2/(1+$B$4)^J8</f>
        <v>3325.4770466313098</v>
      </c>
      <c r="K10" s="1">
        <f>$B$2/(1+$B$4)^K8</f>
        <v>2818.2008869756864</v>
      </c>
      <c r="L10" s="1">
        <f>$B$2/(1+$B$4)^L8</f>
        <v>2388.3058364200733</v>
      </c>
    </row>
    <row r="12" spans="1:12" x14ac:dyDescent="0.3">
      <c r="A12" s="7" t="s">
        <v>26</v>
      </c>
      <c r="B12" s="3">
        <f>B10</f>
        <v>-30000</v>
      </c>
      <c r="C12" s="3">
        <f>B12+C13</f>
        <v>-17500</v>
      </c>
      <c r="D12" s="3">
        <f t="shared" ref="D12:L12" si="0">C12+D13</f>
        <v>-5000</v>
      </c>
      <c r="E12" s="3">
        <f t="shared" si="0"/>
        <v>7500</v>
      </c>
      <c r="F12" s="3">
        <f t="shared" si="0"/>
        <v>20000</v>
      </c>
      <c r="G12" s="3">
        <f t="shared" si="0"/>
        <v>32500</v>
      </c>
      <c r="H12" s="3">
        <f t="shared" si="0"/>
        <v>45000</v>
      </c>
      <c r="I12" s="3">
        <f t="shared" si="0"/>
        <v>57500</v>
      </c>
      <c r="J12" s="3">
        <f t="shared" si="0"/>
        <v>70000</v>
      </c>
      <c r="K12" s="3">
        <f t="shared" si="0"/>
        <v>82500</v>
      </c>
      <c r="L12" s="3">
        <f t="shared" si="0"/>
        <v>95000</v>
      </c>
    </row>
    <row r="13" spans="1:12" x14ac:dyDescent="0.3">
      <c r="A13" s="7" t="s">
        <v>7</v>
      </c>
      <c r="B13" s="1">
        <v>-30000</v>
      </c>
      <c r="C13" s="3">
        <v>12500</v>
      </c>
      <c r="D13" s="3">
        <v>12500</v>
      </c>
      <c r="E13" s="3">
        <v>12500</v>
      </c>
      <c r="F13" s="3">
        <v>12500</v>
      </c>
      <c r="G13" s="3">
        <v>12500</v>
      </c>
      <c r="H13" s="3">
        <v>12500</v>
      </c>
      <c r="I13" s="3">
        <v>12500</v>
      </c>
      <c r="J13" s="3">
        <v>12500</v>
      </c>
      <c r="K13" s="3">
        <v>12500</v>
      </c>
      <c r="L13" s="3">
        <v>12500</v>
      </c>
    </row>
    <row r="14" spans="1:12" x14ac:dyDescent="0.3">
      <c r="A14" s="11" t="s">
        <v>11</v>
      </c>
      <c r="B14" s="6">
        <f>IRR(B13:G13)</f>
        <v>0.3077195776969921</v>
      </c>
    </row>
    <row r="15" spans="1:12" x14ac:dyDescent="0.3">
      <c r="A15" s="12" t="s">
        <v>5</v>
      </c>
      <c r="B15" s="4">
        <f>B1/B2</f>
        <v>2.4</v>
      </c>
    </row>
    <row r="16" spans="1:12" x14ac:dyDescent="0.3">
      <c r="A16" s="11" t="s">
        <v>4</v>
      </c>
      <c r="B16" s="1">
        <f>SUM(B10:G10)</f>
        <v>9089.6377617737198</v>
      </c>
    </row>
    <row r="17" spans="1:12" x14ac:dyDescent="0.3">
      <c r="A17" s="7" t="s">
        <v>3</v>
      </c>
      <c r="B17" s="2">
        <f>B12/$B$1</f>
        <v>-1</v>
      </c>
      <c r="C17" s="2">
        <f t="shared" ref="C17:L17" si="1">C12/$B$1</f>
        <v>-0.58333333333333337</v>
      </c>
      <c r="D17" s="2">
        <f t="shared" si="1"/>
        <v>-0.16666666666666666</v>
      </c>
      <c r="E17" s="2">
        <f t="shared" si="1"/>
        <v>0.25</v>
      </c>
      <c r="F17" s="2">
        <f t="shared" si="1"/>
        <v>0.66666666666666663</v>
      </c>
      <c r="G17" s="2">
        <f t="shared" si="1"/>
        <v>1.0833333333333333</v>
      </c>
      <c r="H17" s="2">
        <f t="shared" si="1"/>
        <v>1.5</v>
      </c>
      <c r="I17" s="2">
        <f t="shared" si="1"/>
        <v>1.9166666666666667</v>
      </c>
      <c r="J17" s="2">
        <f t="shared" si="1"/>
        <v>2.3333333333333335</v>
      </c>
      <c r="K17" s="2">
        <f t="shared" si="1"/>
        <v>2.75</v>
      </c>
      <c r="L17" s="2">
        <f t="shared" si="1"/>
        <v>3.1666666666666665</v>
      </c>
    </row>
    <row r="19" spans="1:12" x14ac:dyDescent="0.3">
      <c r="A19" s="7" t="s">
        <v>28</v>
      </c>
      <c r="B19" s="3">
        <f>G12</f>
        <v>32500</v>
      </c>
    </row>
    <row r="22" spans="1:12" x14ac:dyDescent="0.3">
      <c r="B22" t="s">
        <v>31</v>
      </c>
    </row>
    <row r="23" spans="1:12" x14ac:dyDescent="0.3">
      <c r="B23" t="s">
        <v>32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E5134-602A-4F98-AC46-9616A89111E6}">
  <dimension ref="A1:L17"/>
  <sheetViews>
    <sheetView workbookViewId="0">
      <selection activeCell="B18" sqref="B18"/>
    </sheetView>
  </sheetViews>
  <sheetFormatPr defaultRowHeight="14.4" x14ac:dyDescent="0.3"/>
  <cols>
    <col min="1" max="1" width="21.21875" customWidth="1"/>
    <col min="2" max="2" width="12.77734375" bestFit="1" customWidth="1"/>
    <col min="3" max="3" width="11.77734375" bestFit="1" customWidth="1"/>
    <col min="4" max="9" width="12.44140625" customWidth="1"/>
    <col min="10" max="12" width="13.44140625" customWidth="1"/>
  </cols>
  <sheetData>
    <row r="1" spans="1:12" x14ac:dyDescent="0.3">
      <c r="A1" t="s">
        <v>0</v>
      </c>
      <c r="B1" s="1">
        <v>50000</v>
      </c>
    </row>
    <row r="2" spans="1:12" x14ac:dyDescent="0.3">
      <c r="A2" t="s">
        <v>1</v>
      </c>
      <c r="B2" s="1">
        <v>20000</v>
      </c>
    </row>
    <row r="3" spans="1:12" x14ac:dyDescent="0.3">
      <c r="A3" t="s">
        <v>8</v>
      </c>
      <c r="B3">
        <v>3</v>
      </c>
    </row>
    <row r="4" spans="1:12" x14ac:dyDescent="0.3">
      <c r="A4" t="s">
        <v>9</v>
      </c>
      <c r="B4" s="2">
        <v>0.25</v>
      </c>
    </row>
    <row r="6" spans="1:12" x14ac:dyDescent="0.3">
      <c r="A6" s="7" t="s">
        <v>6</v>
      </c>
      <c r="B6">
        <v>0</v>
      </c>
      <c r="C6">
        <v>1</v>
      </c>
      <c r="D6">
        <v>2</v>
      </c>
      <c r="E6">
        <v>3</v>
      </c>
      <c r="F6">
        <v>4</v>
      </c>
      <c r="G6">
        <v>5</v>
      </c>
      <c r="H6">
        <v>6</v>
      </c>
      <c r="I6">
        <v>7</v>
      </c>
      <c r="J6">
        <v>8</v>
      </c>
      <c r="K6">
        <v>9</v>
      </c>
      <c r="L6">
        <v>10</v>
      </c>
    </row>
    <row r="7" spans="1:12" x14ac:dyDescent="0.3">
      <c r="A7" s="7" t="s">
        <v>18</v>
      </c>
      <c r="B7" s="1">
        <v>-50000</v>
      </c>
      <c r="C7" s="1">
        <f>$B$2/(1+$B$4)^C6</f>
        <v>16000</v>
      </c>
      <c r="D7" s="1">
        <f>$B$2/(1+$B$4)^D6</f>
        <v>12800</v>
      </c>
      <c r="E7" s="1">
        <f t="shared" ref="D7:L7" si="0">$B$2/(1+$B$4)^E6</f>
        <v>10240</v>
      </c>
      <c r="F7" s="1">
        <f t="shared" si="0"/>
        <v>8192</v>
      </c>
      <c r="G7" s="1">
        <f t="shared" si="0"/>
        <v>6553.6</v>
      </c>
      <c r="H7" s="1">
        <f t="shared" si="0"/>
        <v>5242.88</v>
      </c>
      <c r="I7" s="1">
        <f t="shared" si="0"/>
        <v>4194.3040000000001</v>
      </c>
      <c r="J7" s="1">
        <f t="shared" si="0"/>
        <v>3355.4432000000002</v>
      </c>
      <c r="K7" s="1">
        <f t="shared" si="0"/>
        <v>2684.3545600000002</v>
      </c>
      <c r="L7" s="1">
        <f t="shared" si="0"/>
        <v>2147.4836479999999</v>
      </c>
    </row>
    <row r="8" spans="1:12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x14ac:dyDescent="0.3">
      <c r="A9" t="s">
        <v>26</v>
      </c>
      <c r="B9" s="3">
        <f>B7</f>
        <v>-50000</v>
      </c>
      <c r="C9" s="3">
        <f>B9+C11</f>
        <v>-30000</v>
      </c>
      <c r="D9" s="3">
        <f t="shared" ref="D9:L9" si="1">C9+D11</f>
        <v>-10000</v>
      </c>
      <c r="E9" s="3">
        <f t="shared" si="1"/>
        <v>10000</v>
      </c>
      <c r="F9" s="3">
        <f t="shared" si="1"/>
        <v>30000</v>
      </c>
      <c r="G9" s="3">
        <f t="shared" si="1"/>
        <v>50000</v>
      </c>
      <c r="H9" s="3">
        <f t="shared" si="1"/>
        <v>70000</v>
      </c>
      <c r="I9" s="3">
        <f t="shared" si="1"/>
        <v>90000</v>
      </c>
      <c r="J9" s="3">
        <f t="shared" si="1"/>
        <v>110000</v>
      </c>
      <c r="K9" s="3">
        <f t="shared" si="1"/>
        <v>130000</v>
      </c>
      <c r="L9" s="3">
        <f t="shared" si="1"/>
        <v>150000</v>
      </c>
    </row>
    <row r="11" spans="1:12" x14ac:dyDescent="0.3">
      <c r="A11" s="7" t="s">
        <v>7</v>
      </c>
      <c r="B11" s="3">
        <f>-B1</f>
        <v>-50000</v>
      </c>
      <c r="C11" s="1">
        <v>20000</v>
      </c>
      <c r="D11" s="1">
        <v>20000</v>
      </c>
      <c r="E11" s="1">
        <v>20000</v>
      </c>
      <c r="F11" s="1">
        <v>20000</v>
      </c>
      <c r="G11" s="1">
        <v>20000</v>
      </c>
      <c r="H11" s="1">
        <v>20000</v>
      </c>
      <c r="I11" s="1">
        <v>20000</v>
      </c>
      <c r="J11" s="1">
        <v>20000</v>
      </c>
      <c r="K11" s="1">
        <v>20000</v>
      </c>
      <c r="L11" s="1">
        <v>20000</v>
      </c>
    </row>
    <row r="12" spans="1:12" x14ac:dyDescent="0.3">
      <c r="A12" s="7" t="s">
        <v>5</v>
      </c>
      <c r="B12" s="4">
        <f>B1/B2</f>
        <v>2.5</v>
      </c>
    </row>
    <row r="13" spans="1:12" x14ac:dyDescent="0.3">
      <c r="A13" s="7" t="s">
        <v>10</v>
      </c>
      <c r="B13" s="3">
        <f>SUM(B7:E7)</f>
        <v>-10960</v>
      </c>
    </row>
    <row r="14" spans="1:12" x14ac:dyDescent="0.3">
      <c r="A14" s="7" t="s">
        <v>11</v>
      </c>
      <c r="B14" s="6">
        <f>IRR(B7:E7)</f>
        <v>-0.12239179407738177</v>
      </c>
    </row>
    <row r="15" spans="1:12" x14ac:dyDescent="0.3">
      <c r="A15" s="7" t="s">
        <v>3</v>
      </c>
      <c r="B15" s="2">
        <f>B9/$B$1</f>
        <v>-1</v>
      </c>
      <c r="C15" s="2">
        <f t="shared" ref="C15:L15" si="2">C9/$B$1</f>
        <v>-0.6</v>
      </c>
      <c r="D15" s="2">
        <f t="shared" si="2"/>
        <v>-0.2</v>
      </c>
      <c r="E15" s="2">
        <f t="shared" si="2"/>
        <v>0.2</v>
      </c>
      <c r="F15" s="2">
        <f t="shared" si="2"/>
        <v>0.6</v>
      </c>
      <c r="G15" s="2">
        <f t="shared" si="2"/>
        <v>1</v>
      </c>
      <c r="H15" s="2">
        <f t="shared" si="2"/>
        <v>1.4</v>
      </c>
      <c r="I15" s="2">
        <f t="shared" si="2"/>
        <v>1.8</v>
      </c>
      <c r="J15" s="2">
        <f t="shared" si="2"/>
        <v>2.2000000000000002</v>
      </c>
      <c r="K15" s="2">
        <f t="shared" si="2"/>
        <v>2.6</v>
      </c>
      <c r="L15" s="2">
        <f t="shared" si="2"/>
        <v>3</v>
      </c>
    </row>
    <row r="17" spans="1:2" x14ac:dyDescent="0.3">
      <c r="A17" s="7" t="s">
        <v>27</v>
      </c>
      <c r="B17" s="3">
        <f>E9-B1</f>
        <v>-40000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A16E8-54CC-4786-88B2-061FE0FE3420}">
  <dimension ref="A1:I14"/>
  <sheetViews>
    <sheetView workbookViewId="0">
      <selection activeCell="G7" sqref="G7"/>
    </sheetView>
  </sheetViews>
  <sheetFormatPr defaultRowHeight="14.4" x14ac:dyDescent="0.3"/>
  <cols>
    <col min="1" max="1" width="13.5546875" customWidth="1"/>
    <col min="3" max="3" width="13.21875" customWidth="1"/>
    <col min="6" max="6" width="19.5546875" customWidth="1"/>
    <col min="7" max="7" width="10.77734375" bestFit="1" customWidth="1"/>
  </cols>
  <sheetData>
    <row r="1" spans="1:9" x14ac:dyDescent="0.3">
      <c r="B1" s="8" t="s">
        <v>12</v>
      </c>
      <c r="C1" s="8" t="s">
        <v>13</v>
      </c>
      <c r="D1" s="8" t="s">
        <v>14</v>
      </c>
      <c r="E1" s="8" t="s">
        <v>15</v>
      </c>
    </row>
    <row r="2" spans="1:9" x14ac:dyDescent="0.3">
      <c r="B2" s="8">
        <v>700</v>
      </c>
      <c r="C2" s="8">
        <v>110</v>
      </c>
      <c r="D2" s="8">
        <v>120</v>
      </c>
      <c r="E2" s="8">
        <v>800</v>
      </c>
    </row>
    <row r="3" spans="1:9" x14ac:dyDescent="0.3">
      <c r="A3" s="9" t="s">
        <v>16</v>
      </c>
      <c r="B3" s="9">
        <v>600</v>
      </c>
      <c r="C3" s="9">
        <v>110</v>
      </c>
      <c r="D3" s="9">
        <v>100</v>
      </c>
      <c r="E3" s="9">
        <f>SUM(B3:D3)</f>
        <v>810</v>
      </c>
    </row>
    <row r="4" spans="1:9" x14ac:dyDescent="0.3">
      <c r="A4" s="9" t="s">
        <v>17</v>
      </c>
      <c r="B4" s="9">
        <v>500</v>
      </c>
      <c r="C4" s="9">
        <v>100</v>
      </c>
      <c r="D4" s="9">
        <v>100</v>
      </c>
      <c r="E4" s="9">
        <f>SUM(B4:D4)</f>
        <v>700</v>
      </c>
    </row>
    <row r="5" spans="1:9" x14ac:dyDescent="0.3">
      <c r="A5" s="9" t="s">
        <v>16</v>
      </c>
      <c r="B5" s="9">
        <v>500</v>
      </c>
      <c r="C5" s="9">
        <v>100</v>
      </c>
      <c r="D5" s="9">
        <v>200</v>
      </c>
      <c r="E5" s="9">
        <f>SUM(B5:D5)</f>
        <v>800</v>
      </c>
    </row>
    <row r="6" spans="1:9" x14ac:dyDescent="0.3">
      <c r="A6" s="9" t="s">
        <v>17</v>
      </c>
      <c r="B6" s="9">
        <v>500</v>
      </c>
      <c r="C6" s="9">
        <v>60</v>
      </c>
      <c r="D6" s="9">
        <v>250</v>
      </c>
      <c r="E6" s="9">
        <f>SUM(B6:D6)</f>
        <v>810</v>
      </c>
    </row>
    <row r="8" spans="1:9" x14ac:dyDescent="0.3">
      <c r="C8" s="7" t="s">
        <v>20</v>
      </c>
      <c r="D8">
        <f>COUNTIF(B3:B6,"&gt;=700")</f>
        <v>0</v>
      </c>
    </row>
    <row r="9" spans="1:9" x14ac:dyDescent="0.3">
      <c r="C9" s="7" t="s">
        <v>21</v>
      </c>
      <c r="D9">
        <f>COUNTIF(C3:C6,"&gt;=110")</f>
        <v>1</v>
      </c>
    </row>
    <row r="10" spans="1:9" x14ac:dyDescent="0.3">
      <c r="C10" s="7" t="s">
        <v>22</v>
      </c>
      <c r="D10">
        <f>COUNTIF(D3:D6,"&gt;= 120")</f>
        <v>2</v>
      </c>
      <c r="F10" s="7" t="s">
        <v>24</v>
      </c>
      <c r="G10" s="1">
        <f>SUM(D8*B2,D9*C2,D2*D10)</f>
        <v>350</v>
      </c>
    </row>
    <row r="11" spans="1:9" x14ac:dyDescent="0.3">
      <c r="C11" s="7" t="s">
        <v>23</v>
      </c>
      <c r="D11">
        <f>COUNTIF(E3:E6,"&gt;=800")</f>
        <v>3</v>
      </c>
      <c r="F11" s="7" t="s">
        <v>25</v>
      </c>
      <c r="G11" s="1">
        <f>D11*E2</f>
        <v>2400</v>
      </c>
    </row>
    <row r="14" spans="1:9" x14ac:dyDescent="0.3">
      <c r="I14" s="1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48p42</vt:lpstr>
      <vt:lpstr>49p42</vt:lpstr>
      <vt:lpstr>50p42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FOLLONI GIORGIA</dc:creator>
  <cp:lastModifiedBy>FOLLONI GIORGIA</cp:lastModifiedBy>
  <dcterms:created xsi:type="dcterms:W3CDTF">2026-10-21T09:12:54Z</dcterms:created>
  <dcterms:modified xsi:type="dcterms:W3CDTF">2026-10-21T11:00:29Z</dcterms:modified>
</cp:coreProperties>
</file>